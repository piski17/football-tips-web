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65-80 % · 30 tipov" sheetId="1" state="visible" r:id="rId1"/>
    <sheet xmlns:r="http://schemas.openxmlformats.org/officeDocument/2006/relationships" name="65-80 % · 100 tipov" sheetId="2" state="visible" r:id="rId2"/>
    <sheet xmlns:r="http://schemas.openxmlformats.org/officeDocument/2006/relationships" name="68-80 % · 30 tipov" sheetId="3" state="visible" r:id="rId3"/>
    <sheet xmlns:r="http://schemas.openxmlformats.org/officeDocument/2006/relationships" name="68-80 % · 100 tipov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%"/>
    <numFmt numFmtId="166" formatCode="0.00 &quot;€&quot;"/>
  </numFmts>
  <fonts count="7">
    <font>
      <name val="Calibri"/>
      <family val="2"/>
      <color theme="1"/>
      <sz val="11"/>
      <scheme val="minor"/>
    </font>
    <font>
      <name val="Calibri"/>
      <color rgb="00F4EEE2"/>
    </font>
    <font>
      <name val="Calibri"/>
      <b val="1"/>
      <color rgb="00F3E6C4"/>
      <sz val="16"/>
    </font>
    <font>
      <name val="Calibri"/>
      <i val="1"/>
      <color rgb="00A99F8C"/>
    </font>
    <font>
      <name val="Calibri"/>
      <b val="1"/>
      <color rgb="00D9C08A"/>
    </font>
    <font>
      <name val="Calibri"/>
      <b val="1"/>
      <color rgb="00F3E6C4"/>
    </font>
    <font>
      <name val="Calibri"/>
      <b val="1"/>
      <color rgb="00D9C08A"/>
      <sz val="12"/>
    </font>
  </fonts>
  <fills count="4">
    <fill>
      <patternFill/>
    </fill>
    <fill>
      <patternFill patternType="gray125"/>
    </fill>
    <fill>
      <patternFill patternType="solid">
        <fgColor rgb="001B1510"/>
      </patternFill>
    </fill>
    <fill>
      <patternFill patternType="solid">
        <fgColor rgb="003A2E1E"/>
      </patternFill>
    </fill>
  </fills>
  <borders count="2">
    <border>
      <left/>
      <right/>
      <top/>
      <bottom/>
      <diagonal/>
    </border>
    <border>
      <bottom style="thin">
        <color rgb="005A4A3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164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/>
    </xf>
    <xf numFmtId="9" fontId="5" fillId="3" borderId="0" applyAlignment="1" pivotButton="0" quotePrefix="0" xfId="0">
      <alignment horizontal="center"/>
    </xf>
    <xf numFmtId="2" fontId="5" fillId="3" borderId="0" applyAlignment="1" pivotButton="0" quotePrefix="0" xfId="0">
      <alignment horizontal="center"/>
    </xf>
    <xf numFmtId="0" fontId="6" fillId="2" borderId="0" pivotButton="0" quotePrefix="0" xfId="0"/>
    <xf numFmtId="165" fontId="1" fillId="2" borderId="0" applyAlignment="1" pivotButton="0" quotePrefix="0" xfId="0">
      <alignment horizontal="center"/>
    </xf>
    <xf numFmtId="166" fontId="3" fillId="2" borderId="0" pivotButton="0" quotePrefix="0" xfId="0"/>
    <xf numFmtId="0" fontId="4" fillId="2" borderId="1" pivotButton="0" quotePrefix="0" xfId="0"/>
    <xf numFmtId="0" fontId="4" fillId="2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7FBF9A"/>
      </font>
    </dxf>
    <dxf>
      <font>
        <b val="1"/>
        <color rgb="00E3C77E"/>
      </font>
    </dxf>
    <dxf>
      <font>
        <b val="1"/>
        <color rgb="00D98E9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TipRadar – návratnosť členstva · pásmo 65 – 80 %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Priemerná mesačná úspešnosť, pri ktorej sa vrátia vklady aj cena členstva. Zvýraznené políčka (bank, počet tipov, cieľ, kurzy) môžete zmeniť.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Bank (€)</t>
        </is>
      </c>
      <c r="B4" s="5" t="n">
        <v>1000</v>
      </c>
      <c r="C4" s="2" t="n"/>
      <c r="D4" s="2" t="n"/>
      <c r="E4" s="2" t="n"/>
      <c r="F4" s="2" t="n"/>
      <c r="G4" s="2" t="n"/>
    </row>
    <row r="5">
      <c r="A5" s="4" t="inlineStr">
        <is>
          <t>Tipov mesačne</t>
        </is>
      </c>
      <c r="B5" s="6" t="n">
        <v>30</v>
      </c>
      <c r="C5" s="2" t="n"/>
      <c r="D5" s="2" t="n"/>
      <c r="E5" s="2" t="n"/>
      <c r="F5" s="2" t="n"/>
      <c r="G5" s="2" t="n"/>
    </row>
    <row r="6">
      <c r="A6" s="4" t="inlineStr">
        <is>
          <t>Model mieri na (úspešnosť)</t>
        </is>
      </c>
      <c r="B6" s="7" t="n">
        <v>0.71</v>
      </c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4" t="inlineStr">
        <is>
          <t>Kurzy (môžete zmeniť)</t>
        </is>
      </c>
      <c r="B8" s="8" t="n">
        <v>1.55</v>
      </c>
      <c r="C8" s="8" t="n">
        <v>1.65</v>
      </c>
      <c r="D8" s="8" t="n">
        <v>1.75</v>
      </c>
      <c r="E8" s="8" t="n">
        <v>1.85</v>
      </c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9" t="inlineStr">
        <is>
          <t>Bez členstva (len vklady)</t>
        </is>
      </c>
      <c r="B10" s="2" t="n"/>
      <c r="C10" s="2" t="n"/>
      <c r="D10" s="2" t="n"/>
      <c r="E10" s="2" t="n"/>
      <c r="F10" s="2" t="n"/>
      <c r="G10" s="2" t="n"/>
    </row>
    <row r="11">
      <c r="A11" s="2" t="inlineStr">
        <is>
          <t>Potrebná úspešnosť</t>
        </is>
      </c>
      <c r="B11" s="10">
        <f>1/B$8</f>
        <v/>
      </c>
      <c r="C11" s="10">
        <f>1/C$8</f>
        <v/>
      </c>
      <c r="D11" s="10">
        <f>1/D$8</f>
        <v/>
      </c>
      <c r="E11" s="10">
        <f>1/E$8</f>
        <v/>
      </c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9" t="inlineStr">
        <is>
          <t>Silver – 1 mesiac (49 €)</t>
        </is>
      </c>
      <c r="B13" s="3" t="inlineStr">
        <is>
          <t>cena mesačne</t>
        </is>
      </c>
      <c r="C13" s="11">
        <f>49/1</f>
        <v/>
      </c>
      <c r="D13" s="2" t="n"/>
      <c r="E13" s="2" t="n"/>
      <c r="F13" s="2" t="n"/>
      <c r="G13" s="2" t="n"/>
    </row>
    <row r="14">
      <c r="A14" s="12" t="inlineStr">
        <is>
          <t>Vklad na tip</t>
        </is>
      </c>
      <c r="B14" s="13">
        <f>"kurz "&amp;TEXT(B$8,"0.00")</f>
        <v/>
      </c>
      <c r="C14" s="13">
        <f>"kurz "&amp;TEXT(C$8,"0.00")</f>
        <v/>
      </c>
      <c r="D14" s="13">
        <f>"kurz "&amp;TEXT(D$8,"0.00")</f>
        <v/>
      </c>
      <c r="E14" s="13">
        <f>"kurz "&amp;TEXT(E$8,"0.00")</f>
        <v/>
      </c>
      <c r="F14" s="2" t="n"/>
      <c r="G14" s="2" t="n"/>
    </row>
    <row r="15">
      <c r="A15" s="2">
        <f>"1 % ("&amp;TEXT($B$4*0.01,"0")&amp;" €)"</f>
        <v/>
      </c>
      <c r="B15" s="10">
        <f>(1+$C$13/($B$5*$B$4*0.01))/B$8</f>
        <v/>
      </c>
      <c r="C15" s="10">
        <f>(1+$C$13/($B$5*$B$4*0.01))/C$8</f>
        <v/>
      </c>
      <c r="D15" s="10">
        <f>(1+$C$13/($B$5*$B$4*0.01))/D$8</f>
        <v/>
      </c>
      <c r="E15" s="10">
        <f>(1+$C$13/($B$5*$B$4*0.01))/E$8</f>
        <v/>
      </c>
      <c r="F15" s="2" t="n"/>
      <c r="G15" s="2" t="n"/>
    </row>
    <row r="16">
      <c r="A16" s="2">
        <f>"2 % ("&amp;TEXT($B$4*0.02,"0")&amp;" €)"</f>
        <v/>
      </c>
      <c r="B16" s="10">
        <f>(1+$C$13/($B$5*$B$4*0.02))/B$8</f>
        <v/>
      </c>
      <c r="C16" s="10">
        <f>(1+$C$13/($B$5*$B$4*0.02))/C$8</f>
        <v/>
      </c>
      <c r="D16" s="10">
        <f>(1+$C$13/($B$5*$B$4*0.02))/D$8</f>
        <v/>
      </c>
      <c r="E16" s="10">
        <f>(1+$C$13/($B$5*$B$4*0.02))/E$8</f>
        <v/>
      </c>
      <c r="F16" s="2" t="n"/>
      <c r="G16" s="2" t="n"/>
    </row>
    <row r="17">
      <c r="A17" s="2">
        <f>"3 % ("&amp;TEXT($B$4*0.03,"0")&amp;" €)"</f>
        <v/>
      </c>
      <c r="B17" s="10">
        <f>(1+$C$13/($B$5*$B$4*0.03))/B$8</f>
        <v/>
      </c>
      <c r="C17" s="10">
        <f>(1+$C$13/($B$5*$B$4*0.03))/C$8</f>
        <v/>
      </c>
      <c r="D17" s="10">
        <f>(1+$C$13/($B$5*$B$4*0.03))/D$8</f>
        <v/>
      </c>
      <c r="E17" s="10">
        <f>(1+$C$13/($B$5*$B$4*0.03))/E$8</f>
        <v/>
      </c>
      <c r="F17" s="2" t="n"/>
      <c r="G17" s="2" t="n"/>
    </row>
    <row r="18">
      <c r="A18" s="2">
        <f>"5 % ("&amp;TEXT($B$4*0.05,"0")&amp;" €)"</f>
        <v/>
      </c>
      <c r="B18" s="10">
        <f>(1+$C$13/($B$5*$B$4*0.05))/B$8</f>
        <v/>
      </c>
      <c r="C18" s="10">
        <f>(1+$C$13/($B$5*$B$4*0.05))/C$8</f>
        <v/>
      </c>
      <c r="D18" s="10">
        <f>(1+$C$13/($B$5*$B$4*0.05))/D$8</f>
        <v/>
      </c>
      <c r="E18" s="10">
        <f>(1+$C$13/($B$5*$B$4*0.05))/E$8</f>
        <v/>
      </c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9" t="inlineStr">
        <is>
          <t>Gold – 3 mesiace (119 €)</t>
        </is>
      </c>
      <c r="B20" s="3" t="inlineStr">
        <is>
          <t>cena mesačne</t>
        </is>
      </c>
      <c r="C20" s="11">
        <f>119/3</f>
        <v/>
      </c>
      <c r="D20" s="2" t="n"/>
      <c r="E20" s="2" t="n"/>
      <c r="F20" s="2" t="n"/>
      <c r="G20" s="2" t="n"/>
    </row>
    <row r="21">
      <c r="A21" s="12" t="inlineStr">
        <is>
          <t>Vklad na tip</t>
        </is>
      </c>
      <c r="B21" s="13">
        <f>"kurz "&amp;TEXT(B$8,"0.00")</f>
        <v/>
      </c>
      <c r="C21" s="13">
        <f>"kurz "&amp;TEXT(C$8,"0.00")</f>
        <v/>
      </c>
      <c r="D21" s="13">
        <f>"kurz "&amp;TEXT(D$8,"0.00")</f>
        <v/>
      </c>
      <c r="E21" s="13">
        <f>"kurz "&amp;TEXT(E$8,"0.00")</f>
        <v/>
      </c>
      <c r="F21" s="2" t="n"/>
      <c r="G21" s="2" t="n"/>
    </row>
    <row r="22">
      <c r="A22" s="2">
        <f>"1 % ("&amp;TEXT($B$4*0.01,"0")&amp;" €)"</f>
        <v/>
      </c>
      <c r="B22" s="10">
        <f>(1+$C$20/($B$5*$B$4*0.01))/B$8</f>
        <v/>
      </c>
      <c r="C22" s="10">
        <f>(1+$C$20/($B$5*$B$4*0.01))/C$8</f>
        <v/>
      </c>
      <c r="D22" s="10">
        <f>(1+$C$20/($B$5*$B$4*0.01))/D$8</f>
        <v/>
      </c>
      <c r="E22" s="10">
        <f>(1+$C$20/($B$5*$B$4*0.01))/E$8</f>
        <v/>
      </c>
      <c r="F22" s="2" t="n"/>
      <c r="G22" s="2" t="n"/>
    </row>
    <row r="23">
      <c r="A23" s="2">
        <f>"2 % ("&amp;TEXT($B$4*0.02,"0")&amp;" €)"</f>
        <v/>
      </c>
      <c r="B23" s="10">
        <f>(1+$C$20/($B$5*$B$4*0.02))/B$8</f>
        <v/>
      </c>
      <c r="C23" s="10">
        <f>(1+$C$20/($B$5*$B$4*0.02))/C$8</f>
        <v/>
      </c>
      <c r="D23" s="10">
        <f>(1+$C$20/($B$5*$B$4*0.02))/D$8</f>
        <v/>
      </c>
      <c r="E23" s="10">
        <f>(1+$C$20/($B$5*$B$4*0.02))/E$8</f>
        <v/>
      </c>
      <c r="F23" s="2" t="n"/>
      <c r="G23" s="2" t="n"/>
    </row>
    <row r="24">
      <c r="A24" s="2">
        <f>"3 % ("&amp;TEXT($B$4*0.03,"0")&amp;" €)"</f>
        <v/>
      </c>
      <c r="B24" s="10">
        <f>(1+$C$20/($B$5*$B$4*0.03))/B$8</f>
        <v/>
      </c>
      <c r="C24" s="10">
        <f>(1+$C$20/($B$5*$B$4*0.03))/C$8</f>
        <v/>
      </c>
      <c r="D24" s="10">
        <f>(1+$C$20/($B$5*$B$4*0.03))/D$8</f>
        <v/>
      </c>
      <c r="E24" s="10">
        <f>(1+$C$20/($B$5*$B$4*0.03))/E$8</f>
        <v/>
      </c>
      <c r="F24" s="2" t="n"/>
      <c r="G24" s="2" t="n"/>
    </row>
    <row r="25">
      <c r="A25" s="2">
        <f>"5 % ("&amp;TEXT($B$4*0.05,"0")&amp;" €)"</f>
        <v/>
      </c>
      <c r="B25" s="10">
        <f>(1+$C$20/($B$5*$B$4*0.05))/B$8</f>
        <v/>
      </c>
      <c r="C25" s="10">
        <f>(1+$C$20/($B$5*$B$4*0.05))/C$8</f>
        <v/>
      </c>
      <c r="D25" s="10">
        <f>(1+$C$20/($B$5*$B$4*0.05))/D$8</f>
        <v/>
      </c>
      <c r="E25" s="10">
        <f>(1+$C$20/($B$5*$B$4*0.05))/E$8</f>
        <v/>
      </c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9" t="inlineStr">
        <is>
          <t>Platinum – 6 mesiacov (219 €)</t>
        </is>
      </c>
      <c r="B27" s="3" t="inlineStr">
        <is>
          <t>cena mesačne</t>
        </is>
      </c>
      <c r="C27" s="11">
        <f>219/6</f>
        <v/>
      </c>
      <c r="D27" s="2" t="n"/>
      <c r="E27" s="2" t="n"/>
      <c r="F27" s="2" t="n"/>
      <c r="G27" s="2" t="n"/>
    </row>
    <row r="28">
      <c r="A28" s="12" t="inlineStr">
        <is>
          <t>Vklad na tip</t>
        </is>
      </c>
      <c r="B28" s="13">
        <f>"kurz "&amp;TEXT(B$8,"0.00")</f>
        <v/>
      </c>
      <c r="C28" s="13">
        <f>"kurz "&amp;TEXT(C$8,"0.00")</f>
        <v/>
      </c>
      <c r="D28" s="13">
        <f>"kurz "&amp;TEXT(D$8,"0.00")</f>
        <v/>
      </c>
      <c r="E28" s="13">
        <f>"kurz "&amp;TEXT(E$8,"0.00")</f>
        <v/>
      </c>
      <c r="F28" s="2" t="n"/>
      <c r="G28" s="2" t="n"/>
    </row>
    <row r="29">
      <c r="A29" s="2">
        <f>"1 % ("&amp;TEXT($B$4*0.01,"0")&amp;" €)"</f>
        <v/>
      </c>
      <c r="B29" s="10">
        <f>(1+$C$27/($B$5*$B$4*0.01))/B$8</f>
        <v/>
      </c>
      <c r="C29" s="10">
        <f>(1+$C$27/($B$5*$B$4*0.01))/C$8</f>
        <v/>
      </c>
      <c r="D29" s="10">
        <f>(1+$C$27/($B$5*$B$4*0.01))/D$8</f>
        <v/>
      </c>
      <c r="E29" s="10">
        <f>(1+$C$27/($B$5*$B$4*0.01))/E$8</f>
        <v/>
      </c>
      <c r="F29" s="2" t="n"/>
      <c r="G29" s="2" t="n"/>
    </row>
    <row r="30">
      <c r="A30" s="2">
        <f>"2 % ("&amp;TEXT($B$4*0.02,"0")&amp;" €)"</f>
        <v/>
      </c>
      <c r="B30" s="10">
        <f>(1+$C$27/($B$5*$B$4*0.02))/B$8</f>
        <v/>
      </c>
      <c r="C30" s="10">
        <f>(1+$C$27/($B$5*$B$4*0.02))/C$8</f>
        <v/>
      </c>
      <c r="D30" s="10">
        <f>(1+$C$27/($B$5*$B$4*0.02))/D$8</f>
        <v/>
      </c>
      <c r="E30" s="10">
        <f>(1+$C$27/($B$5*$B$4*0.02))/E$8</f>
        <v/>
      </c>
      <c r="F30" s="2" t="n"/>
      <c r="G30" s="2" t="n"/>
    </row>
    <row r="31">
      <c r="A31" s="2">
        <f>"3 % ("&amp;TEXT($B$4*0.03,"0")&amp;" €)"</f>
        <v/>
      </c>
      <c r="B31" s="10">
        <f>(1+$C$27/($B$5*$B$4*0.03))/B$8</f>
        <v/>
      </c>
      <c r="C31" s="10">
        <f>(1+$C$27/($B$5*$B$4*0.03))/C$8</f>
        <v/>
      </c>
      <c r="D31" s="10">
        <f>(1+$C$27/($B$5*$B$4*0.03))/D$8</f>
        <v/>
      </c>
      <c r="E31" s="10">
        <f>(1+$C$27/($B$5*$B$4*0.03))/E$8</f>
        <v/>
      </c>
      <c r="F31" s="2" t="n"/>
      <c r="G31" s="2" t="n"/>
    </row>
    <row r="32">
      <c r="A32" s="2">
        <f>"5 % ("&amp;TEXT($B$4*0.05,"0")&amp;" €)"</f>
        <v/>
      </c>
      <c r="B32" s="10">
        <f>(1+$C$27/($B$5*$B$4*0.05))/B$8</f>
        <v/>
      </c>
      <c r="C32" s="10">
        <f>(1+$C$27/($B$5*$B$4*0.05))/C$8</f>
        <v/>
      </c>
      <c r="D32" s="10">
        <f>(1+$C$27/($B$5*$B$4*0.05))/D$8</f>
        <v/>
      </c>
      <c r="E32" s="10">
        <f>(1+$C$27/($B$5*$B$4*0.05))/E$8</f>
        <v/>
      </c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3" t="inlineStr">
        <is>
          <t>Zelená = aspoň 3 body pod cieľom modelu · žltá = tesne pod ním · červená = nad ním (náročné).</t>
        </is>
      </c>
      <c r="B34" s="2" t="n"/>
      <c r="C34" s="2" t="n"/>
      <c r="D34" s="2" t="n"/>
      <c r="E34" s="2" t="n"/>
      <c r="F34" s="2" t="n"/>
      <c r="G34" s="2" t="n"/>
    </row>
    <row r="35">
      <c r="A35" s="3" t="inlineStr">
        <is>
          <t>Vzorec: (1 + mesačná cena ÷ (počet tipov × vklad)) ÷ kurz</t>
        </is>
      </c>
      <c r="B35" s="2" t="n"/>
      <c r="C35" s="2" t="n"/>
      <c r="D35" s="2" t="n"/>
      <c r="E35" s="2" t="n"/>
      <c r="F35" s="2" t="n"/>
      <c r="G35" s="2" t="n"/>
    </row>
    <row r="36">
      <c r="A36" s="3" t="inlineStr">
        <is>
          <t>Výpočet ukazuje len hranicu návratnosti, výhru nezaručuje. 18+</t>
        </is>
      </c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conditionalFormatting sqref="B11:E34">
    <cfRule type="cellIs" priority="1" operator="lessThanOrEqual" dxfId="0">
      <formula>$B$6-0.03</formula>
    </cfRule>
    <cfRule type="cellIs" priority="2" operator="between" dxfId="1">
      <formula>$B$6-0.03</formula>
      <formula>$B$6</formula>
    </cfRule>
    <cfRule type="cellIs" priority="3" operator="greaterThan" dxfId="2">
      <formula>$B$6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TipRadar – návratnosť členstva · pásmo 65 – 80 %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Priemerná mesačná úspešnosť, pri ktorej sa vrátia vklady aj cena členstva. Zvýraznené políčka (bank, počet tipov, cieľ, kurzy) môžete zmeniť.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Bank (€)</t>
        </is>
      </c>
      <c r="B4" s="5" t="n">
        <v>1000</v>
      </c>
      <c r="C4" s="2" t="n"/>
      <c r="D4" s="2" t="n"/>
      <c r="E4" s="2" t="n"/>
      <c r="F4" s="2" t="n"/>
      <c r="G4" s="2" t="n"/>
    </row>
    <row r="5">
      <c r="A5" s="4" t="inlineStr">
        <is>
          <t>Tipov mesačne</t>
        </is>
      </c>
      <c r="B5" s="6" t="n">
        <v>100</v>
      </c>
      <c r="C5" s="2" t="n"/>
      <c r="D5" s="2" t="n"/>
      <c r="E5" s="2" t="n"/>
      <c r="F5" s="2" t="n"/>
      <c r="G5" s="2" t="n"/>
    </row>
    <row r="6">
      <c r="A6" s="4" t="inlineStr">
        <is>
          <t>Model mieri na (úspešnosť)</t>
        </is>
      </c>
      <c r="B6" s="7" t="n">
        <v>0.71</v>
      </c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4" t="inlineStr">
        <is>
          <t>Kurzy (môžete zmeniť)</t>
        </is>
      </c>
      <c r="B8" s="8" t="n">
        <v>1.55</v>
      </c>
      <c r="C8" s="8" t="n">
        <v>1.65</v>
      </c>
      <c r="D8" s="8" t="n">
        <v>1.75</v>
      </c>
      <c r="E8" s="8" t="n">
        <v>1.85</v>
      </c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9" t="inlineStr">
        <is>
          <t>Bez členstva (len vklady)</t>
        </is>
      </c>
      <c r="B10" s="2" t="n"/>
      <c r="C10" s="2" t="n"/>
      <c r="D10" s="2" t="n"/>
      <c r="E10" s="2" t="n"/>
      <c r="F10" s="2" t="n"/>
      <c r="G10" s="2" t="n"/>
    </row>
    <row r="11">
      <c r="A11" s="2" t="inlineStr">
        <is>
          <t>Potrebná úspešnosť</t>
        </is>
      </c>
      <c r="B11" s="10">
        <f>1/B$8</f>
        <v/>
      </c>
      <c r="C11" s="10">
        <f>1/C$8</f>
        <v/>
      </c>
      <c r="D11" s="10">
        <f>1/D$8</f>
        <v/>
      </c>
      <c r="E11" s="10">
        <f>1/E$8</f>
        <v/>
      </c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9" t="inlineStr">
        <is>
          <t>Silver – 1 mesiac (49 €)</t>
        </is>
      </c>
      <c r="B13" s="3" t="inlineStr">
        <is>
          <t>cena mesačne</t>
        </is>
      </c>
      <c r="C13" s="11">
        <f>49/1</f>
        <v/>
      </c>
      <c r="D13" s="2" t="n"/>
      <c r="E13" s="2" t="n"/>
      <c r="F13" s="2" t="n"/>
      <c r="G13" s="2" t="n"/>
    </row>
    <row r="14">
      <c r="A14" s="12" t="inlineStr">
        <is>
          <t>Vklad na tip</t>
        </is>
      </c>
      <c r="B14" s="13">
        <f>"kurz "&amp;TEXT(B$8,"0.00")</f>
        <v/>
      </c>
      <c r="C14" s="13">
        <f>"kurz "&amp;TEXT(C$8,"0.00")</f>
        <v/>
      </c>
      <c r="D14" s="13">
        <f>"kurz "&amp;TEXT(D$8,"0.00")</f>
        <v/>
      </c>
      <c r="E14" s="13">
        <f>"kurz "&amp;TEXT(E$8,"0.00")</f>
        <v/>
      </c>
      <c r="F14" s="2" t="n"/>
      <c r="G14" s="2" t="n"/>
    </row>
    <row r="15">
      <c r="A15" s="2">
        <f>"1 % ("&amp;TEXT($B$4*0.01,"0")&amp;" €)"</f>
        <v/>
      </c>
      <c r="B15" s="10">
        <f>(1+$C$13/($B$5*$B$4*0.01))/B$8</f>
        <v/>
      </c>
      <c r="C15" s="10">
        <f>(1+$C$13/($B$5*$B$4*0.01))/C$8</f>
        <v/>
      </c>
      <c r="D15" s="10">
        <f>(1+$C$13/($B$5*$B$4*0.01))/D$8</f>
        <v/>
      </c>
      <c r="E15" s="10">
        <f>(1+$C$13/($B$5*$B$4*0.01))/E$8</f>
        <v/>
      </c>
      <c r="F15" s="2" t="n"/>
      <c r="G15" s="2" t="n"/>
    </row>
    <row r="16">
      <c r="A16" s="2">
        <f>"2 % ("&amp;TEXT($B$4*0.02,"0")&amp;" €)"</f>
        <v/>
      </c>
      <c r="B16" s="10">
        <f>(1+$C$13/($B$5*$B$4*0.02))/B$8</f>
        <v/>
      </c>
      <c r="C16" s="10">
        <f>(1+$C$13/($B$5*$B$4*0.02))/C$8</f>
        <v/>
      </c>
      <c r="D16" s="10">
        <f>(1+$C$13/($B$5*$B$4*0.02))/D$8</f>
        <v/>
      </c>
      <c r="E16" s="10">
        <f>(1+$C$13/($B$5*$B$4*0.02))/E$8</f>
        <v/>
      </c>
      <c r="F16" s="2" t="n"/>
      <c r="G16" s="2" t="n"/>
    </row>
    <row r="17">
      <c r="A17" s="2">
        <f>"3 % ("&amp;TEXT($B$4*0.03,"0")&amp;" €)"</f>
        <v/>
      </c>
      <c r="B17" s="10">
        <f>(1+$C$13/($B$5*$B$4*0.03))/B$8</f>
        <v/>
      </c>
      <c r="C17" s="10">
        <f>(1+$C$13/($B$5*$B$4*0.03))/C$8</f>
        <v/>
      </c>
      <c r="D17" s="10">
        <f>(1+$C$13/($B$5*$B$4*0.03))/D$8</f>
        <v/>
      </c>
      <c r="E17" s="10">
        <f>(1+$C$13/($B$5*$B$4*0.03))/E$8</f>
        <v/>
      </c>
      <c r="F17" s="2" t="n"/>
      <c r="G17" s="2" t="n"/>
    </row>
    <row r="18">
      <c r="A18" s="2">
        <f>"5 % ("&amp;TEXT($B$4*0.05,"0")&amp;" €)"</f>
        <v/>
      </c>
      <c r="B18" s="10">
        <f>(1+$C$13/($B$5*$B$4*0.05))/B$8</f>
        <v/>
      </c>
      <c r="C18" s="10">
        <f>(1+$C$13/($B$5*$B$4*0.05))/C$8</f>
        <v/>
      </c>
      <c r="D18" s="10">
        <f>(1+$C$13/($B$5*$B$4*0.05))/D$8</f>
        <v/>
      </c>
      <c r="E18" s="10">
        <f>(1+$C$13/($B$5*$B$4*0.05))/E$8</f>
        <v/>
      </c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9" t="inlineStr">
        <is>
          <t>Gold – 3 mesiace (119 €)</t>
        </is>
      </c>
      <c r="B20" s="3" t="inlineStr">
        <is>
          <t>cena mesačne</t>
        </is>
      </c>
      <c r="C20" s="11">
        <f>119/3</f>
        <v/>
      </c>
      <c r="D20" s="2" t="n"/>
      <c r="E20" s="2" t="n"/>
      <c r="F20" s="2" t="n"/>
      <c r="G20" s="2" t="n"/>
    </row>
    <row r="21">
      <c r="A21" s="12" t="inlineStr">
        <is>
          <t>Vklad na tip</t>
        </is>
      </c>
      <c r="B21" s="13">
        <f>"kurz "&amp;TEXT(B$8,"0.00")</f>
        <v/>
      </c>
      <c r="C21" s="13">
        <f>"kurz "&amp;TEXT(C$8,"0.00")</f>
        <v/>
      </c>
      <c r="D21" s="13">
        <f>"kurz "&amp;TEXT(D$8,"0.00")</f>
        <v/>
      </c>
      <c r="E21" s="13">
        <f>"kurz "&amp;TEXT(E$8,"0.00")</f>
        <v/>
      </c>
      <c r="F21" s="2" t="n"/>
      <c r="G21" s="2" t="n"/>
    </row>
    <row r="22">
      <c r="A22" s="2">
        <f>"1 % ("&amp;TEXT($B$4*0.01,"0")&amp;" €)"</f>
        <v/>
      </c>
      <c r="B22" s="10">
        <f>(1+$C$20/($B$5*$B$4*0.01))/B$8</f>
        <v/>
      </c>
      <c r="C22" s="10">
        <f>(1+$C$20/($B$5*$B$4*0.01))/C$8</f>
        <v/>
      </c>
      <c r="D22" s="10">
        <f>(1+$C$20/($B$5*$B$4*0.01))/D$8</f>
        <v/>
      </c>
      <c r="E22" s="10">
        <f>(1+$C$20/($B$5*$B$4*0.01))/E$8</f>
        <v/>
      </c>
      <c r="F22" s="2" t="n"/>
      <c r="G22" s="2" t="n"/>
    </row>
    <row r="23">
      <c r="A23" s="2">
        <f>"2 % ("&amp;TEXT($B$4*0.02,"0")&amp;" €)"</f>
        <v/>
      </c>
      <c r="B23" s="10">
        <f>(1+$C$20/($B$5*$B$4*0.02))/B$8</f>
        <v/>
      </c>
      <c r="C23" s="10">
        <f>(1+$C$20/($B$5*$B$4*0.02))/C$8</f>
        <v/>
      </c>
      <c r="D23" s="10">
        <f>(1+$C$20/($B$5*$B$4*0.02))/D$8</f>
        <v/>
      </c>
      <c r="E23" s="10">
        <f>(1+$C$20/($B$5*$B$4*0.02))/E$8</f>
        <v/>
      </c>
      <c r="F23" s="2" t="n"/>
      <c r="G23" s="2" t="n"/>
    </row>
    <row r="24">
      <c r="A24" s="2">
        <f>"3 % ("&amp;TEXT($B$4*0.03,"0")&amp;" €)"</f>
        <v/>
      </c>
      <c r="B24" s="10">
        <f>(1+$C$20/($B$5*$B$4*0.03))/B$8</f>
        <v/>
      </c>
      <c r="C24" s="10">
        <f>(1+$C$20/($B$5*$B$4*0.03))/C$8</f>
        <v/>
      </c>
      <c r="D24" s="10">
        <f>(1+$C$20/($B$5*$B$4*0.03))/D$8</f>
        <v/>
      </c>
      <c r="E24" s="10">
        <f>(1+$C$20/($B$5*$B$4*0.03))/E$8</f>
        <v/>
      </c>
      <c r="F24" s="2" t="n"/>
      <c r="G24" s="2" t="n"/>
    </row>
    <row r="25">
      <c r="A25" s="2">
        <f>"5 % ("&amp;TEXT($B$4*0.05,"0")&amp;" €)"</f>
        <v/>
      </c>
      <c r="B25" s="10">
        <f>(1+$C$20/($B$5*$B$4*0.05))/B$8</f>
        <v/>
      </c>
      <c r="C25" s="10">
        <f>(1+$C$20/($B$5*$B$4*0.05))/C$8</f>
        <v/>
      </c>
      <c r="D25" s="10">
        <f>(1+$C$20/($B$5*$B$4*0.05))/D$8</f>
        <v/>
      </c>
      <c r="E25" s="10">
        <f>(1+$C$20/($B$5*$B$4*0.05))/E$8</f>
        <v/>
      </c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9" t="inlineStr">
        <is>
          <t>Platinum – 6 mesiacov (219 €)</t>
        </is>
      </c>
      <c r="B27" s="3" t="inlineStr">
        <is>
          <t>cena mesačne</t>
        </is>
      </c>
      <c r="C27" s="11">
        <f>219/6</f>
        <v/>
      </c>
      <c r="D27" s="2" t="n"/>
      <c r="E27" s="2" t="n"/>
      <c r="F27" s="2" t="n"/>
      <c r="G27" s="2" t="n"/>
    </row>
    <row r="28">
      <c r="A28" s="12" t="inlineStr">
        <is>
          <t>Vklad na tip</t>
        </is>
      </c>
      <c r="B28" s="13">
        <f>"kurz "&amp;TEXT(B$8,"0.00")</f>
        <v/>
      </c>
      <c r="C28" s="13">
        <f>"kurz "&amp;TEXT(C$8,"0.00")</f>
        <v/>
      </c>
      <c r="D28" s="13">
        <f>"kurz "&amp;TEXT(D$8,"0.00")</f>
        <v/>
      </c>
      <c r="E28" s="13">
        <f>"kurz "&amp;TEXT(E$8,"0.00")</f>
        <v/>
      </c>
      <c r="F28" s="2" t="n"/>
      <c r="G28" s="2" t="n"/>
    </row>
    <row r="29">
      <c r="A29" s="2">
        <f>"1 % ("&amp;TEXT($B$4*0.01,"0")&amp;" €)"</f>
        <v/>
      </c>
      <c r="B29" s="10">
        <f>(1+$C$27/($B$5*$B$4*0.01))/B$8</f>
        <v/>
      </c>
      <c r="C29" s="10">
        <f>(1+$C$27/($B$5*$B$4*0.01))/C$8</f>
        <v/>
      </c>
      <c r="D29" s="10">
        <f>(1+$C$27/($B$5*$B$4*0.01))/D$8</f>
        <v/>
      </c>
      <c r="E29" s="10">
        <f>(1+$C$27/($B$5*$B$4*0.01))/E$8</f>
        <v/>
      </c>
      <c r="F29" s="2" t="n"/>
      <c r="G29" s="2" t="n"/>
    </row>
    <row r="30">
      <c r="A30" s="2">
        <f>"2 % ("&amp;TEXT($B$4*0.02,"0")&amp;" €)"</f>
        <v/>
      </c>
      <c r="B30" s="10">
        <f>(1+$C$27/($B$5*$B$4*0.02))/B$8</f>
        <v/>
      </c>
      <c r="C30" s="10">
        <f>(1+$C$27/($B$5*$B$4*0.02))/C$8</f>
        <v/>
      </c>
      <c r="D30" s="10">
        <f>(1+$C$27/($B$5*$B$4*0.02))/D$8</f>
        <v/>
      </c>
      <c r="E30" s="10">
        <f>(1+$C$27/($B$5*$B$4*0.02))/E$8</f>
        <v/>
      </c>
      <c r="F30" s="2" t="n"/>
      <c r="G30" s="2" t="n"/>
    </row>
    <row r="31">
      <c r="A31" s="2">
        <f>"3 % ("&amp;TEXT($B$4*0.03,"0")&amp;" €)"</f>
        <v/>
      </c>
      <c r="B31" s="10">
        <f>(1+$C$27/($B$5*$B$4*0.03))/B$8</f>
        <v/>
      </c>
      <c r="C31" s="10">
        <f>(1+$C$27/($B$5*$B$4*0.03))/C$8</f>
        <v/>
      </c>
      <c r="D31" s="10">
        <f>(1+$C$27/($B$5*$B$4*0.03))/D$8</f>
        <v/>
      </c>
      <c r="E31" s="10">
        <f>(1+$C$27/($B$5*$B$4*0.03))/E$8</f>
        <v/>
      </c>
      <c r="F31" s="2" t="n"/>
      <c r="G31" s="2" t="n"/>
    </row>
    <row r="32">
      <c r="A32" s="2">
        <f>"5 % ("&amp;TEXT($B$4*0.05,"0")&amp;" €)"</f>
        <v/>
      </c>
      <c r="B32" s="10">
        <f>(1+$C$27/($B$5*$B$4*0.05))/B$8</f>
        <v/>
      </c>
      <c r="C32" s="10">
        <f>(1+$C$27/($B$5*$B$4*0.05))/C$8</f>
        <v/>
      </c>
      <c r="D32" s="10">
        <f>(1+$C$27/($B$5*$B$4*0.05))/D$8</f>
        <v/>
      </c>
      <c r="E32" s="10">
        <f>(1+$C$27/($B$5*$B$4*0.05))/E$8</f>
        <v/>
      </c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3" t="inlineStr">
        <is>
          <t>Zelená = aspoň 3 body pod cieľom modelu · žltá = tesne pod ním · červená = nad ním (náročné).</t>
        </is>
      </c>
      <c r="B34" s="2" t="n"/>
      <c r="C34" s="2" t="n"/>
      <c r="D34" s="2" t="n"/>
      <c r="E34" s="2" t="n"/>
      <c r="F34" s="2" t="n"/>
      <c r="G34" s="2" t="n"/>
    </row>
    <row r="35">
      <c r="A35" s="3" t="inlineStr">
        <is>
          <t>Vzorec: (1 + mesačná cena ÷ (počet tipov × vklad)) ÷ kurz</t>
        </is>
      </c>
      <c r="B35" s="2" t="n"/>
      <c r="C35" s="2" t="n"/>
      <c r="D35" s="2" t="n"/>
      <c r="E35" s="2" t="n"/>
      <c r="F35" s="2" t="n"/>
      <c r="G35" s="2" t="n"/>
    </row>
    <row r="36">
      <c r="A36" s="3" t="inlineStr">
        <is>
          <t>Výpočet ukazuje len hranicu návratnosti, výhru nezaručuje. 18+</t>
        </is>
      </c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conditionalFormatting sqref="B11:E34">
    <cfRule type="cellIs" priority="1" operator="lessThanOrEqual" dxfId="0">
      <formula>$B$6-0.03</formula>
    </cfRule>
    <cfRule type="cellIs" priority="2" operator="between" dxfId="1">
      <formula>$B$6-0.03</formula>
      <formula>$B$6</formula>
    </cfRule>
    <cfRule type="cellIs" priority="3" operator="greaterThan" dxfId="2">
      <formula>$B$6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TipRadar – návratnosť členstva · pásmo 68 – 80 %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Priemerná mesačná úspešnosť, pri ktorej sa vrátia vklady aj cena členstva. Zvýraznené políčka (bank, počet tipov, cieľ, kurzy) môžete zmeniť.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Bank (€)</t>
        </is>
      </c>
      <c r="B4" s="5" t="n">
        <v>1000</v>
      </c>
      <c r="C4" s="2" t="n"/>
      <c r="D4" s="2" t="n"/>
      <c r="E4" s="2" t="n"/>
      <c r="F4" s="2" t="n"/>
      <c r="G4" s="2" t="n"/>
    </row>
    <row r="5">
      <c r="A5" s="4" t="inlineStr">
        <is>
          <t>Tipov mesačne</t>
        </is>
      </c>
      <c r="B5" s="6" t="n">
        <v>30</v>
      </c>
      <c r="C5" s="2" t="n"/>
      <c r="D5" s="2" t="n"/>
      <c r="E5" s="2" t="n"/>
      <c r="F5" s="2" t="n"/>
      <c r="G5" s="2" t="n"/>
    </row>
    <row r="6">
      <c r="A6" s="4" t="inlineStr">
        <is>
          <t>Model mieri na (úspešnosť)</t>
        </is>
      </c>
      <c r="B6" s="7" t="n">
        <v>0.73</v>
      </c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4" t="inlineStr">
        <is>
          <t>Kurzy (môžete zmeniť)</t>
        </is>
      </c>
      <c r="B8" s="8" t="n">
        <v>1.55</v>
      </c>
      <c r="C8" s="8" t="n">
        <v>1.65</v>
      </c>
      <c r="D8" s="8" t="n">
        <v>1.75</v>
      </c>
      <c r="E8" s="8" t="n">
        <v>1.85</v>
      </c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9" t="inlineStr">
        <is>
          <t>Bez členstva (len vklady)</t>
        </is>
      </c>
      <c r="B10" s="2" t="n"/>
      <c r="C10" s="2" t="n"/>
      <c r="D10" s="2" t="n"/>
      <c r="E10" s="2" t="n"/>
      <c r="F10" s="2" t="n"/>
      <c r="G10" s="2" t="n"/>
    </row>
    <row r="11">
      <c r="A11" s="2" t="inlineStr">
        <is>
          <t>Potrebná úspešnosť</t>
        </is>
      </c>
      <c r="B11" s="10">
        <f>1/B$8</f>
        <v/>
      </c>
      <c r="C11" s="10">
        <f>1/C$8</f>
        <v/>
      </c>
      <c r="D11" s="10">
        <f>1/D$8</f>
        <v/>
      </c>
      <c r="E11" s="10">
        <f>1/E$8</f>
        <v/>
      </c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9" t="inlineStr">
        <is>
          <t>Silver – 1 mesiac (49 €)</t>
        </is>
      </c>
      <c r="B13" s="3" t="inlineStr">
        <is>
          <t>cena mesačne</t>
        </is>
      </c>
      <c r="C13" s="11">
        <f>49/1</f>
        <v/>
      </c>
      <c r="D13" s="2" t="n"/>
      <c r="E13" s="2" t="n"/>
      <c r="F13" s="2" t="n"/>
      <c r="G13" s="2" t="n"/>
    </row>
    <row r="14">
      <c r="A14" s="12" t="inlineStr">
        <is>
          <t>Vklad na tip</t>
        </is>
      </c>
      <c r="B14" s="13">
        <f>"kurz "&amp;TEXT(B$8,"0.00")</f>
        <v/>
      </c>
      <c r="C14" s="13">
        <f>"kurz "&amp;TEXT(C$8,"0.00")</f>
        <v/>
      </c>
      <c r="D14" s="13">
        <f>"kurz "&amp;TEXT(D$8,"0.00")</f>
        <v/>
      </c>
      <c r="E14" s="13">
        <f>"kurz "&amp;TEXT(E$8,"0.00")</f>
        <v/>
      </c>
      <c r="F14" s="2" t="n"/>
      <c r="G14" s="2" t="n"/>
    </row>
    <row r="15">
      <c r="A15" s="2">
        <f>"1 % ("&amp;TEXT($B$4*0.01,"0")&amp;" €)"</f>
        <v/>
      </c>
      <c r="B15" s="10">
        <f>(1+$C$13/($B$5*$B$4*0.01))/B$8</f>
        <v/>
      </c>
      <c r="C15" s="10">
        <f>(1+$C$13/($B$5*$B$4*0.01))/C$8</f>
        <v/>
      </c>
      <c r="D15" s="10">
        <f>(1+$C$13/($B$5*$B$4*0.01))/D$8</f>
        <v/>
      </c>
      <c r="E15" s="10">
        <f>(1+$C$13/($B$5*$B$4*0.01))/E$8</f>
        <v/>
      </c>
      <c r="F15" s="2" t="n"/>
      <c r="G15" s="2" t="n"/>
    </row>
    <row r="16">
      <c r="A16" s="2">
        <f>"2 % ("&amp;TEXT($B$4*0.02,"0")&amp;" €)"</f>
        <v/>
      </c>
      <c r="B16" s="10">
        <f>(1+$C$13/($B$5*$B$4*0.02))/B$8</f>
        <v/>
      </c>
      <c r="C16" s="10">
        <f>(1+$C$13/($B$5*$B$4*0.02))/C$8</f>
        <v/>
      </c>
      <c r="D16" s="10">
        <f>(1+$C$13/($B$5*$B$4*0.02))/D$8</f>
        <v/>
      </c>
      <c r="E16" s="10">
        <f>(1+$C$13/($B$5*$B$4*0.02))/E$8</f>
        <v/>
      </c>
      <c r="F16" s="2" t="n"/>
      <c r="G16" s="2" t="n"/>
    </row>
    <row r="17">
      <c r="A17" s="2">
        <f>"3 % ("&amp;TEXT($B$4*0.03,"0")&amp;" €)"</f>
        <v/>
      </c>
      <c r="B17" s="10">
        <f>(1+$C$13/($B$5*$B$4*0.03))/B$8</f>
        <v/>
      </c>
      <c r="C17" s="10">
        <f>(1+$C$13/($B$5*$B$4*0.03))/C$8</f>
        <v/>
      </c>
      <c r="D17" s="10">
        <f>(1+$C$13/($B$5*$B$4*0.03))/D$8</f>
        <v/>
      </c>
      <c r="E17" s="10">
        <f>(1+$C$13/($B$5*$B$4*0.03))/E$8</f>
        <v/>
      </c>
      <c r="F17" s="2" t="n"/>
      <c r="G17" s="2" t="n"/>
    </row>
    <row r="18">
      <c r="A18" s="2">
        <f>"5 % ("&amp;TEXT($B$4*0.05,"0")&amp;" €)"</f>
        <v/>
      </c>
      <c r="B18" s="10">
        <f>(1+$C$13/($B$5*$B$4*0.05))/B$8</f>
        <v/>
      </c>
      <c r="C18" s="10">
        <f>(1+$C$13/($B$5*$B$4*0.05))/C$8</f>
        <v/>
      </c>
      <c r="D18" s="10">
        <f>(1+$C$13/($B$5*$B$4*0.05))/D$8</f>
        <v/>
      </c>
      <c r="E18" s="10">
        <f>(1+$C$13/($B$5*$B$4*0.05))/E$8</f>
        <v/>
      </c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9" t="inlineStr">
        <is>
          <t>Gold – 3 mesiace (119 €)</t>
        </is>
      </c>
      <c r="B20" s="3" t="inlineStr">
        <is>
          <t>cena mesačne</t>
        </is>
      </c>
      <c r="C20" s="11">
        <f>119/3</f>
        <v/>
      </c>
      <c r="D20" s="2" t="n"/>
      <c r="E20" s="2" t="n"/>
      <c r="F20" s="2" t="n"/>
      <c r="G20" s="2" t="n"/>
    </row>
    <row r="21">
      <c r="A21" s="12" t="inlineStr">
        <is>
          <t>Vklad na tip</t>
        </is>
      </c>
      <c r="B21" s="13">
        <f>"kurz "&amp;TEXT(B$8,"0.00")</f>
        <v/>
      </c>
      <c r="C21" s="13">
        <f>"kurz "&amp;TEXT(C$8,"0.00")</f>
        <v/>
      </c>
      <c r="D21" s="13">
        <f>"kurz "&amp;TEXT(D$8,"0.00")</f>
        <v/>
      </c>
      <c r="E21" s="13">
        <f>"kurz "&amp;TEXT(E$8,"0.00")</f>
        <v/>
      </c>
      <c r="F21" s="2" t="n"/>
      <c r="G21" s="2" t="n"/>
    </row>
    <row r="22">
      <c r="A22" s="2">
        <f>"1 % ("&amp;TEXT($B$4*0.01,"0")&amp;" €)"</f>
        <v/>
      </c>
      <c r="B22" s="10">
        <f>(1+$C$20/($B$5*$B$4*0.01))/B$8</f>
        <v/>
      </c>
      <c r="C22" s="10">
        <f>(1+$C$20/($B$5*$B$4*0.01))/C$8</f>
        <v/>
      </c>
      <c r="D22" s="10">
        <f>(1+$C$20/($B$5*$B$4*0.01))/D$8</f>
        <v/>
      </c>
      <c r="E22" s="10">
        <f>(1+$C$20/($B$5*$B$4*0.01))/E$8</f>
        <v/>
      </c>
      <c r="F22" s="2" t="n"/>
      <c r="G22" s="2" t="n"/>
    </row>
    <row r="23">
      <c r="A23" s="2">
        <f>"2 % ("&amp;TEXT($B$4*0.02,"0")&amp;" €)"</f>
        <v/>
      </c>
      <c r="B23" s="10">
        <f>(1+$C$20/($B$5*$B$4*0.02))/B$8</f>
        <v/>
      </c>
      <c r="C23" s="10">
        <f>(1+$C$20/($B$5*$B$4*0.02))/C$8</f>
        <v/>
      </c>
      <c r="D23" s="10">
        <f>(1+$C$20/($B$5*$B$4*0.02))/D$8</f>
        <v/>
      </c>
      <c r="E23" s="10">
        <f>(1+$C$20/($B$5*$B$4*0.02))/E$8</f>
        <v/>
      </c>
      <c r="F23" s="2" t="n"/>
      <c r="G23" s="2" t="n"/>
    </row>
    <row r="24">
      <c r="A24" s="2">
        <f>"3 % ("&amp;TEXT($B$4*0.03,"0")&amp;" €)"</f>
        <v/>
      </c>
      <c r="B24" s="10">
        <f>(1+$C$20/($B$5*$B$4*0.03))/B$8</f>
        <v/>
      </c>
      <c r="C24" s="10">
        <f>(1+$C$20/($B$5*$B$4*0.03))/C$8</f>
        <v/>
      </c>
      <c r="D24" s="10">
        <f>(1+$C$20/($B$5*$B$4*0.03))/D$8</f>
        <v/>
      </c>
      <c r="E24" s="10">
        <f>(1+$C$20/($B$5*$B$4*0.03))/E$8</f>
        <v/>
      </c>
      <c r="F24" s="2" t="n"/>
      <c r="G24" s="2" t="n"/>
    </row>
    <row r="25">
      <c r="A25" s="2">
        <f>"5 % ("&amp;TEXT($B$4*0.05,"0")&amp;" €)"</f>
        <v/>
      </c>
      <c r="B25" s="10">
        <f>(1+$C$20/($B$5*$B$4*0.05))/B$8</f>
        <v/>
      </c>
      <c r="C25" s="10">
        <f>(1+$C$20/($B$5*$B$4*0.05))/C$8</f>
        <v/>
      </c>
      <c r="D25" s="10">
        <f>(1+$C$20/($B$5*$B$4*0.05))/D$8</f>
        <v/>
      </c>
      <c r="E25" s="10">
        <f>(1+$C$20/($B$5*$B$4*0.05))/E$8</f>
        <v/>
      </c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9" t="inlineStr">
        <is>
          <t>Platinum – 6 mesiacov (219 €)</t>
        </is>
      </c>
      <c r="B27" s="3" t="inlineStr">
        <is>
          <t>cena mesačne</t>
        </is>
      </c>
      <c r="C27" s="11">
        <f>219/6</f>
        <v/>
      </c>
      <c r="D27" s="2" t="n"/>
      <c r="E27" s="2" t="n"/>
      <c r="F27" s="2" t="n"/>
      <c r="G27" s="2" t="n"/>
    </row>
    <row r="28">
      <c r="A28" s="12" t="inlineStr">
        <is>
          <t>Vklad na tip</t>
        </is>
      </c>
      <c r="B28" s="13">
        <f>"kurz "&amp;TEXT(B$8,"0.00")</f>
        <v/>
      </c>
      <c r="C28" s="13">
        <f>"kurz "&amp;TEXT(C$8,"0.00")</f>
        <v/>
      </c>
      <c r="D28" s="13">
        <f>"kurz "&amp;TEXT(D$8,"0.00")</f>
        <v/>
      </c>
      <c r="E28" s="13">
        <f>"kurz "&amp;TEXT(E$8,"0.00")</f>
        <v/>
      </c>
      <c r="F28" s="2" t="n"/>
      <c r="G28" s="2" t="n"/>
    </row>
    <row r="29">
      <c r="A29" s="2">
        <f>"1 % ("&amp;TEXT($B$4*0.01,"0")&amp;" €)"</f>
        <v/>
      </c>
      <c r="B29" s="10">
        <f>(1+$C$27/($B$5*$B$4*0.01))/B$8</f>
        <v/>
      </c>
      <c r="C29" s="10">
        <f>(1+$C$27/($B$5*$B$4*0.01))/C$8</f>
        <v/>
      </c>
      <c r="D29" s="10">
        <f>(1+$C$27/($B$5*$B$4*0.01))/D$8</f>
        <v/>
      </c>
      <c r="E29" s="10">
        <f>(1+$C$27/($B$5*$B$4*0.01))/E$8</f>
        <v/>
      </c>
      <c r="F29" s="2" t="n"/>
      <c r="G29" s="2" t="n"/>
    </row>
    <row r="30">
      <c r="A30" s="2">
        <f>"2 % ("&amp;TEXT($B$4*0.02,"0")&amp;" €)"</f>
        <v/>
      </c>
      <c r="B30" s="10">
        <f>(1+$C$27/($B$5*$B$4*0.02))/B$8</f>
        <v/>
      </c>
      <c r="C30" s="10">
        <f>(1+$C$27/($B$5*$B$4*0.02))/C$8</f>
        <v/>
      </c>
      <c r="D30" s="10">
        <f>(1+$C$27/($B$5*$B$4*0.02))/D$8</f>
        <v/>
      </c>
      <c r="E30" s="10">
        <f>(1+$C$27/($B$5*$B$4*0.02))/E$8</f>
        <v/>
      </c>
      <c r="F30" s="2" t="n"/>
      <c r="G30" s="2" t="n"/>
    </row>
    <row r="31">
      <c r="A31" s="2">
        <f>"3 % ("&amp;TEXT($B$4*0.03,"0")&amp;" €)"</f>
        <v/>
      </c>
      <c r="B31" s="10">
        <f>(1+$C$27/($B$5*$B$4*0.03))/B$8</f>
        <v/>
      </c>
      <c r="C31" s="10">
        <f>(1+$C$27/($B$5*$B$4*0.03))/C$8</f>
        <v/>
      </c>
      <c r="D31" s="10">
        <f>(1+$C$27/($B$5*$B$4*0.03))/D$8</f>
        <v/>
      </c>
      <c r="E31" s="10">
        <f>(1+$C$27/($B$5*$B$4*0.03))/E$8</f>
        <v/>
      </c>
      <c r="F31" s="2" t="n"/>
      <c r="G31" s="2" t="n"/>
    </row>
    <row r="32">
      <c r="A32" s="2">
        <f>"5 % ("&amp;TEXT($B$4*0.05,"0")&amp;" €)"</f>
        <v/>
      </c>
      <c r="B32" s="10">
        <f>(1+$C$27/($B$5*$B$4*0.05))/B$8</f>
        <v/>
      </c>
      <c r="C32" s="10">
        <f>(1+$C$27/($B$5*$B$4*0.05))/C$8</f>
        <v/>
      </c>
      <c r="D32" s="10">
        <f>(1+$C$27/($B$5*$B$4*0.05))/D$8</f>
        <v/>
      </c>
      <c r="E32" s="10">
        <f>(1+$C$27/($B$5*$B$4*0.05))/E$8</f>
        <v/>
      </c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3" t="inlineStr">
        <is>
          <t>Zelená = aspoň 3 body pod cieľom modelu · žltá = tesne pod ním · červená = nad ním (náročné).</t>
        </is>
      </c>
      <c r="B34" s="2" t="n"/>
      <c r="C34" s="2" t="n"/>
      <c r="D34" s="2" t="n"/>
      <c r="E34" s="2" t="n"/>
      <c r="F34" s="2" t="n"/>
      <c r="G34" s="2" t="n"/>
    </row>
    <row r="35">
      <c r="A35" s="3" t="inlineStr">
        <is>
          <t>Vzorec: (1 + mesačná cena ÷ (počet tipov × vklad)) ÷ kurz</t>
        </is>
      </c>
      <c r="B35" s="2" t="n"/>
      <c r="C35" s="2" t="n"/>
      <c r="D35" s="2" t="n"/>
      <c r="E35" s="2" t="n"/>
      <c r="F35" s="2" t="n"/>
      <c r="G35" s="2" t="n"/>
    </row>
    <row r="36">
      <c r="A36" s="3" t="inlineStr">
        <is>
          <t>Výpočet ukazuje len hranicu návratnosti, výhru nezaručuje. 18+</t>
        </is>
      </c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conditionalFormatting sqref="B11:E34">
    <cfRule type="cellIs" priority="1" operator="lessThanOrEqual" dxfId="0">
      <formula>$B$6-0.03</formula>
    </cfRule>
    <cfRule type="cellIs" priority="2" operator="between" dxfId="1">
      <formula>$B$6-0.03</formula>
      <formula>$B$6</formula>
    </cfRule>
    <cfRule type="cellIs" priority="3" operator="greaterThan" dxfId="2">
      <formula>$B$6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TipRadar – návratnosť členstva · pásmo 68 – 80 %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Priemerná mesačná úspešnosť, pri ktorej sa vrátia vklady aj cena členstva. Zvýraznené políčka (bank, počet tipov, cieľ, kurzy) môžete zmeniť.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Bank (€)</t>
        </is>
      </c>
      <c r="B4" s="5" t="n">
        <v>1000</v>
      </c>
      <c r="C4" s="2" t="n"/>
      <c r="D4" s="2" t="n"/>
      <c r="E4" s="2" t="n"/>
      <c r="F4" s="2" t="n"/>
      <c r="G4" s="2" t="n"/>
    </row>
    <row r="5">
      <c r="A5" s="4" t="inlineStr">
        <is>
          <t>Tipov mesačne</t>
        </is>
      </c>
      <c r="B5" s="6" t="n">
        <v>100</v>
      </c>
      <c r="C5" s="2" t="n"/>
      <c r="D5" s="2" t="n"/>
      <c r="E5" s="2" t="n"/>
      <c r="F5" s="2" t="n"/>
      <c r="G5" s="2" t="n"/>
    </row>
    <row r="6">
      <c r="A6" s="4" t="inlineStr">
        <is>
          <t>Model mieri na (úspešnosť)</t>
        </is>
      </c>
      <c r="B6" s="7" t="n">
        <v>0.73</v>
      </c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4" t="inlineStr">
        <is>
          <t>Kurzy (môžete zmeniť)</t>
        </is>
      </c>
      <c r="B8" s="8" t="n">
        <v>1.55</v>
      </c>
      <c r="C8" s="8" t="n">
        <v>1.65</v>
      </c>
      <c r="D8" s="8" t="n">
        <v>1.75</v>
      </c>
      <c r="E8" s="8" t="n">
        <v>1.85</v>
      </c>
      <c r="F8" s="2" t="n"/>
      <c r="G8" s="2" t="n"/>
    </row>
    <row r="9">
      <c r="A9" s="2" t="n"/>
      <c r="B9" s="2" t="n"/>
      <c r="C9" s="2" t="n"/>
      <c r="D9" s="2" t="n"/>
      <c r="E9" s="2" t="n"/>
      <c r="F9" s="2" t="n"/>
      <c r="G9" s="2" t="n"/>
    </row>
    <row r="10">
      <c r="A10" s="9" t="inlineStr">
        <is>
          <t>Bez členstva (len vklady)</t>
        </is>
      </c>
      <c r="B10" s="2" t="n"/>
      <c r="C10" s="2" t="n"/>
      <c r="D10" s="2" t="n"/>
      <c r="E10" s="2" t="n"/>
      <c r="F10" s="2" t="n"/>
      <c r="G10" s="2" t="n"/>
    </row>
    <row r="11">
      <c r="A11" s="2" t="inlineStr">
        <is>
          <t>Potrebná úspešnosť</t>
        </is>
      </c>
      <c r="B11" s="10">
        <f>1/B$8</f>
        <v/>
      </c>
      <c r="C11" s="10">
        <f>1/C$8</f>
        <v/>
      </c>
      <c r="D11" s="10">
        <f>1/D$8</f>
        <v/>
      </c>
      <c r="E11" s="10">
        <f>1/E$8</f>
        <v/>
      </c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9" t="inlineStr">
        <is>
          <t>Silver – 1 mesiac (49 €)</t>
        </is>
      </c>
      <c r="B13" s="3" t="inlineStr">
        <is>
          <t>cena mesačne</t>
        </is>
      </c>
      <c r="C13" s="11">
        <f>49/1</f>
        <v/>
      </c>
      <c r="D13" s="2" t="n"/>
      <c r="E13" s="2" t="n"/>
      <c r="F13" s="2" t="n"/>
      <c r="G13" s="2" t="n"/>
    </row>
    <row r="14">
      <c r="A14" s="12" t="inlineStr">
        <is>
          <t>Vklad na tip</t>
        </is>
      </c>
      <c r="B14" s="13">
        <f>"kurz "&amp;TEXT(B$8,"0.00")</f>
        <v/>
      </c>
      <c r="C14" s="13">
        <f>"kurz "&amp;TEXT(C$8,"0.00")</f>
        <v/>
      </c>
      <c r="D14" s="13">
        <f>"kurz "&amp;TEXT(D$8,"0.00")</f>
        <v/>
      </c>
      <c r="E14" s="13">
        <f>"kurz "&amp;TEXT(E$8,"0.00")</f>
        <v/>
      </c>
      <c r="F14" s="2" t="n"/>
      <c r="G14" s="2" t="n"/>
    </row>
    <row r="15">
      <c r="A15" s="2">
        <f>"1 % ("&amp;TEXT($B$4*0.01,"0")&amp;" €)"</f>
        <v/>
      </c>
      <c r="B15" s="10">
        <f>(1+$C$13/($B$5*$B$4*0.01))/B$8</f>
        <v/>
      </c>
      <c r="C15" s="10">
        <f>(1+$C$13/($B$5*$B$4*0.01))/C$8</f>
        <v/>
      </c>
      <c r="D15" s="10">
        <f>(1+$C$13/($B$5*$B$4*0.01))/D$8</f>
        <v/>
      </c>
      <c r="E15" s="10">
        <f>(1+$C$13/($B$5*$B$4*0.01))/E$8</f>
        <v/>
      </c>
      <c r="F15" s="2" t="n"/>
      <c r="G15" s="2" t="n"/>
    </row>
    <row r="16">
      <c r="A16" s="2">
        <f>"2 % ("&amp;TEXT($B$4*0.02,"0")&amp;" €)"</f>
        <v/>
      </c>
      <c r="B16" s="10">
        <f>(1+$C$13/($B$5*$B$4*0.02))/B$8</f>
        <v/>
      </c>
      <c r="C16" s="10">
        <f>(1+$C$13/($B$5*$B$4*0.02))/C$8</f>
        <v/>
      </c>
      <c r="D16" s="10">
        <f>(1+$C$13/($B$5*$B$4*0.02))/D$8</f>
        <v/>
      </c>
      <c r="E16" s="10">
        <f>(1+$C$13/($B$5*$B$4*0.02))/E$8</f>
        <v/>
      </c>
      <c r="F16" s="2" t="n"/>
      <c r="G16" s="2" t="n"/>
    </row>
    <row r="17">
      <c r="A17" s="2">
        <f>"3 % ("&amp;TEXT($B$4*0.03,"0")&amp;" €)"</f>
        <v/>
      </c>
      <c r="B17" s="10">
        <f>(1+$C$13/($B$5*$B$4*0.03))/B$8</f>
        <v/>
      </c>
      <c r="C17" s="10">
        <f>(1+$C$13/($B$5*$B$4*0.03))/C$8</f>
        <v/>
      </c>
      <c r="D17" s="10">
        <f>(1+$C$13/($B$5*$B$4*0.03))/D$8</f>
        <v/>
      </c>
      <c r="E17" s="10">
        <f>(1+$C$13/($B$5*$B$4*0.03))/E$8</f>
        <v/>
      </c>
      <c r="F17" s="2" t="n"/>
      <c r="G17" s="2" t="n"/>
    </row>
    <row r="18">
      <c r="A18" s="2">
        <f>"5 % ("&amp;TEXT($B$4*0.05,"0")&amp;" €)"</f>
        <v/>
      </c>
      <c r="B18" s="10">
        <f>(1+$C$13/($B$5*$B$4*0.05))/B$8</f>
        <v/>
      </c>
      <c r="C18" s="10">
        <f>(1+$C$13/($B$5*$B$4*0.05))/C$8</f>
        <v/>
      </c>
      <c r="D18" s="10">
        <f>(1+$C$13/($B$5*$B$4*0.05))/D$8</f>
        <v/>
      </c>
      <c r="E18" s="10">
        <f>(1+$C$13/($B$5*$B$4*0.05))/E$8</f>
        <v/>
      </c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9" t="inlineStr">
        <is>
          <t>Gold – 3 mesiace (119 €)</t>
        </is>
      </c>
      <c r="B20" s="3" t="inlineStr">
        <is>
          <t>cena mesačne</t>
        </is>
      </c>
      <c r="C20" s="11">
        <f>119/3</f>
        <v/>
      </c>
      <c r="D20" s="2" t="n"/>
      <c r="E20" s="2" t="n"/>
      <c r="F20" s="2" t="n"/>
      <c r="G20" s="2" t="n"/>
    </row>
    <row r="21">
      <c r="A21" s="12" t="inlineStr">
        <is>
          <t>Vklad na tip</t>
        </is>
      </c>
      <c r="B21" s="13">
        <f>"kurz "&amp;TEXT(B$8,"0.00")</f>
        <v/>
      </c>
      <c r="C21" s="13">
        <f>"kurz "&amp;TEXT(C$8,"0.00")</f>
        <v/>
      </c>
      <c r="D21" s="13">
        <f>"kurz "&amp;TEXT(D$8,"0.00")</f>
        <v/>
      </c>
      <c r="E21" s="13">
        <f>"kurz "&amp;TEXT(E$8,"0.00")</f>
        <v/>
      </c>
      <c r="F21" s="2" t="n"/>
      <c r="G21" s="2" t="n"/>
    </row>
    <row r="22">
      <c r="A22" s="2">
        <f>"1 % ("&amp;TEXT($B$4*0.01,"0")&amp;" €)"</f>
        <v/>
      </c>
      <c r="B22" s="10">
        <f>(1+$C$20/($B$5*$B$4*0.01))/B$8</f>
        <v/>
      </c>
      <c r="C22" s="10">
        <f>(1+$C$20/($B$5*$B$4*0.01))/C$8</f>
        <v/>
      </c>
      <c r="D22" s="10">
        <f>(1+$C$20/($B$5*$B$4*0.01))/D$8</f>
        <v/>
      </c>
      <c r="E22" s="10">
        <f>(1+$C$20/($B$5*$B$4*0.01))/E$8</f>
        <v/>
      </c>
      <c r="F22" s="2" t="n"/>
      <c r="G22" s="2" t="n"/>
    </row>
    <row r="23">
      <c r="A23" s="2">
        <f>"2 % ("&amp;TEXT($B$4*0.02,"0")&amp;" €)"</f>
        <v/>
      </c>
      <c r="B23" s="10">
        <f>(1+$C$20/($B$5*$B$4*0.02))/B$8</f>
        <v/>
      </c>
      <c r="C23" s="10">
        <f>(1+$C$20/($B$5*$B$4*0.02))/C$8</f>
        <v/>
      </c>
      <c r="D23" s="10">
        <f>(1+$C$20/($B$5*$B$4*0.02))/D$8</f>
        <v/>
      </c>
      <c r="E23" s="10">
        <f>(1+$C$20/($B$5*$B$4*0.02))/E$8</f>
        <v/>
      </c>
      <c r="F23" s="2" t="n"/>
      <c r="G23" s="2" t="n"/>
    </row>
    <row r="24">
      <c r="A24" s="2">
        <f>"3 % ("&amp;TEXT($B$4*0.03,"0")&amp;" €)"</f>
        <v/>
      </c>
      <c r="B24" s="10">
        <f>(1+$C$20/($B$5*$B$4*0.03))/B$8</f>
        <v/>
      </c>
      <c r="C24" s="10">
        <f>(1+$C$20/($B$5*$B$4*0.03))/C$8</f>
        <v/>
      </c>
      <c r="D24" s="10">
        <f>(1+$C$20/($B$5*$B$4*0.03))/D$8</f>
        <v/>
      </c>
      <c r="E24" s="10">
        <f>(1+$C$20/($B$5*$B$4*0.03))/E$8</f>
        <v/>
      </c>
      <c r="F24" s="2" t="n"/>
      <c r="G24" s="2" t="n"/>
    </row>
    <row r="25">
      <c r="A25" s="2">
        <f>"5 % ("&amp;TEXT($B$4*0.05,"0")&amp;" €)"</f>
        <v/>
      </c>
      <c r="B25" s="10">
        <f>(1+$C$20/($B$5*$B$4*0.05))/B$8</f>
        <v/>
      </c>
      <c r="C25" s="10">
        <f>(1+$C$20/($B$5*$B$4*0.05))/C$8</f>
        <v/>
      </c>
      <c r="D25" s="10">
        <f>(1+$C$20/($B$5*$B$4*0.05))/D$8</f>
        <v/>
      </c>
      <c r="E25" s="10">
        <f>(1+$C$20/($B$5*$B$4*0.05))/E$8</f>
        <v/>
      </c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9" t="inlineStr">
        <is>
          <t>Platinum – 6 mesiacov (219 €)</t>
        </is>
      </c>
      <c r="B27" s="3" t="inlineStr">
        <is>
          <t>cena mesačne</t>
        </is>
      </c>
      <c r="C27" s="11">
        <f>219/6</f>
        <v/>
      </c>
      <c r="D27" s="2" t="n"/>
      <c r="E27" s="2" t="n"/>
      <c r="F27" s="2" t="n"/>
      <c r="G27" s="2" t="n"/>
    </row>
    <row r="28">
      <c r="A28" s="12" t="inlineStr">
        <is>
          <t>Vklad na tip</t>
        </is>
      </c>
      <c r="B28" s="13">
        <f>"kurz "&amp;TEXT(B$8,"0.00")</f>
        <v/>
      </c>
      <c r="C28" s="13">
        <f>"kurz "&amp;TEXT(C$8,"0.00")</f>
        <v/>
      </c>
      <c r="D28" s="13">
        <f>"kurz "&amp;TEXT(D$8,"0.00")</f>
        <v/>
      </c>
      <c r="E28" s="13">
        <f>"kurz "&amp;TEXT(E$8,"0.00")</f>
        <v/>
      </c>
      <c r="F28" s="2" t="n"/>
      <c r="G28" s="2" t="n"/>
    </row>
    <row r="29">
      <c r="A29" s="2">
        <f>"1 % ("&amp;TEXT($B$4*0.01,"0")&amp;" €)"</f>
        <v/>
      </c>
      <c r="B29" s="10">
        <f>(1+$C$27/($B$5*$B$4*0.01))/B$8</f>
        <v/>
      </c>
      <c r="C29" s="10">
        <f>(1+$C$27/($B$5*$B$4*0.01))/C$8</f>
        <v/>
      </c>
      <c r="D29" s="10">
        <f>(1+$C$27/($B$5*$B$4*0.01))/D$8</f>
        <v/>
      </c>
      <c r="E29" s="10">
        <f>(1+$C$27/($B$5*$B$4*0.01))/E$8</f>
        <v/>
      </c>
      <c r="F29" s="2" t="n"/>
      <c r="G29" s="2" t="n"/>
    </row>
    <row r="30">
      <c r="A30" s="2">
        <f>"2 % ("&amp;TEXT($B$4*0.02,"0")&amp;" €)"</f>
        <v/>
      </c>
      <c r="B30" s="10">
        <f>(1+$C$27/($B$5*$B$4*0.02))/B$8</f>
        <v/>
      </c>
      <c r="C30" s="10">
        <f>(1+$C$27/($B$5*$B$4*0.02))/C$8</f>
        <v/>
      </c>
      <c r="D30" s="10">
        <f>(1+$C$27/($B$5*$B$4*0.02))/D$8</f>
        <v/>
      </c>
      <c r="E30" s="10">
        <f>(1+$C$27/($B$5*$B$4*0.02))/E$8</f>
        <v/>
      </c>
      <c r="F30" s="2" t="n"/>
      <c r="G30" s="2" t="n"/>
    </row>
    <row r="31">
      <c r="A31" s="2">
        <f>"3 % ("&amp;TEXT($B$4*0.03,"0")&amp;" €)"</f>
        <v/>
      </c>
      <c r="B31" s="10">
        <f>(1+$C$27/($B$5*$B$4*0.03))/B$8</f>
        <v/>
      </c>
      <c r="C31" s="10">
        <f>(1+$C$27/($B$5*$B$4*0.03))/C$8</f>
        <v/>
      </c>
      <c r="D31" s="10">
        <f>(1+$C$27/($B$5*$B$4*0.03))/D$8</f>
        <v/>
      </c>
      <c r="E31" s="10">
        <f>(1+$C$27/($B$5*$B$4*0.03))/E$8</f>
        <v/>
      </c>
      <c r="F31" s="2" t="n"/>
      <c r="G31" s="2" t="n"/>
    </row>
    <row r="32">
      <c r="A32" s="2">
        <f>"5 % ("&amp;TEXT($B$4*0.05,"0")&amp;" €)"</f>
        <v/>
      </c>
      <c r="B32" s="10">
        <f>(1+$C$27/($B$5*$B$4*0.05))/B$8</f>
        <v/>
      </c>
      <c r="C32" s="10">
        <f>(1+$C$27/($B$5*$B$4*0.05))/C$8</f>
        <v/>
      </c>
      <c r="D32" s="10">
        <f>(1+$C$27/($B$5*$B$4*0.05))/D$8</f>
        <v/>
      </c>
      <c r="E32" s="10">
        <f>(1+$C$27/($B$5*$B$4*0.05))/E$8</f>
        <v/>
      </c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3" t="inlineStr">
        <is>
          <t>Zelená = aspoň 3 body pod cieľom modelu · žltá = tesne pod ním · červená = nad ním (náročné).</t>
        </is>
      </c>
      <c r="B34" s="2" t="n"/>
      <c r="C34" s="2" t="n"/>
      <c r="D34" s="2" t="n"/>
      <c r="E34" s="2" t="n"/>
      <c r="F34" s="2" t="n"/>
      <c r="G34" s="2" t="n"/>
    </row>
    <row r="35">
      <c r="A35" s="3" t="inlineStr">
        <is>
          <t>Vzorec: (1 + mesačná cena ÷ (počet tipov × vklad)) ÷ kurz</t>
        </is>
      </c>
      <c r="B35" s="2" t="n"/>
      <c r="C35" s="2" t="n"/>
      <c r="D35" s="2" t="n"/>
      <c r="E35" s="2" t="n"/>
      <c r="F35" s="2" t="n"/>
      <c r="G35" s="2" t="n"/>
    </row>
    <row r="36">
      <c r="A36" s="3" t="inlineStr">
        <is>
          <t>Výpočet ukazuje len hranicu návratnosti, výhru nezaručuje. 18+</t>
        </is>
      </c>
      <c r="B36" s="2" t="n"/>
      <c r="C36" s="2" t="n"/>
      <c r="D36" s="2" t="n"/>
      <c r="E36" s="2" t="n"/>
      <c r="F36" s="2" t="n"/>
      <c r="G36" s="2" t="n"/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conditionalFormatting sqref="B11:E34">
    <cfRule type="cellIs" priority="1" operator="lessThanOrEqual" dxfId="0">
      <formula>$B$6-0.03</formula>
    </cfRule>
    <cfRule type="cellIs" priority="2" operator="between" dxfId="1">
      <formula>$B$6-0.03</formula>
      <formula>$B$6</formula>
    </cfRule>
    <cfRule type="cellIs" priority="3" operator="greaterThan" dxfId="2">
      <formula>$B$6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2026-10-24T07:29:00Z</dcterms:created>
  <dcterms:modified xmlns:dcterms="http://purl.org/dc/terms/" xmlns:xsi="http://www.w3.org/2001/XMLSchema-instance" xsi:type="dcterms:W3CDTF">2026-10-24T07:29:00Z</dcterms:modified>
</cp:coreProperties>
</file>