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smo 68-80 %" sheetId="1" state="visible" r:id="rId1"/>
  </sheets>
  <definedNames>
    <definedName name="_xlnm.Print_Area" localSheetId="0">'Pásmo 68-80 %'!$A$1:$H$47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"/>
    <numFmt numFmtId="165" formatCode="0.0%"/>
    <numFmt numFmtId="166" formatCode="&quot;mesačne &quot;0.00&quot; €&quot;"/>
  </numFmts>
  <fonts count="20">
    <font>
      <name val="Calibri"/>
      <family val="2"/>
      <color theme="1"/>
      <sz val="11"/>
      <scheme val="minor"/>
    </font>
    <font>
      <name val="Plus Jakarta Sans"/>
      <b val="1"/>
      <color rgb="00C9A55C"/>
      <sz val="10"/>
    </font>
    <font>
      <name val="Playfair Display"/>
      <b val="1"/>
      <color rgb="00E8D3A0"/>
      <sz val="24"/>
    </font>
    <font>
      <name val="Plus Jakarta Sans"/>
      <b val="1"/>
      <color rgb="00EDE6D6"/>
      <sz val="12"/>
    </font>
    <font>
      <name val="Plus Jakarta Sans"/>
      <i val="1"/>
      <color rgb="00B8B0A2"/>
      <sz val="9.5"/>
    </font>
    <font>
      <name val="Plus Jakarta Sans"/>
      <b val="1"/>
      <color rgb="00B8B0A2"/>
      <sz val="8"/>
    </font>
    <font>
      <name val="Plus Jakarta Sans"/>
      <color rgb="00EDE6D6"/>
      <sz val="10"/>
    </font>
    <font>
      <name val="Plus Jakarta Sans"/>
      <b val="1"/>
      <color rgb="00C9A55C"/>
      <sz val="8"/>
    </font>
    <font>
      <name val="Plus Jakarta Sans"/>
      <b val="1"/>
      <color rgb="000B0B0C"/>
      <sz val="16"/>
    </font>
    <font>
      <name val="Plus Jakarta Sans"/>
      <b val="1"/>
      <color rgb="000B0B0C"/>
      <sz val="13"/>
    </font>
    <font>
      <name val="Playfair Display"/>
      <b val="1"/>
      <color rgb="00EDE6D6"/>
      <sz val="14"/>
    </font>
    <font>
      <name val="Plus Jakarta Sans"/>
      <i val="1"/>
      <color rgb="00B8B0A2"/>
      <sz val="9"/>
    </font>
    <font>
      <name val="Plus Jakarta Sans"/>
      <b val="1"/>
      <color rgb="00EDE6D6"/>
      <sz val="13"/>
    </font>
    <font>
      <name val="Playfair Display"/>
      <b val="1"/>
      <color rgb="00E8D3A0"/>
      <sz val="18"/>
    </font>
    <font>
      <name val="Plus Jakarta Sans"/>
      <color rgb="00B8B0A2"/>
      <sz val="9"/>
    </font>
    <font>
      <name val="Plus Jakarta Sans"/>
      <b val="1"/>
      <color rgb="00EDE6D6"/>
      <sz val="11"/>
    </font>
    <font>
      <name val="Plus Jakarta Sans"/>
      <b val="1"/>
      <color rgb="00EDE6D6"/>
      <sz val="10.5"/>
    </font>
    <font>
      <name val="Plus Jakarta Sans"/>
      <b val="1"/>
      <color rgb="007FBF9A"/>
      <sz val="8.5"/>
    </font>
    <font>
      <name val="Plus Jakarta Sans"/>
      <b val="1"/>
      <color rgb="00E3C77E"/>
      <sz val="8.5"/>
    </font>
    <font>
      <name val="Plus Jakarta Sans"/>
      <b val="1"/>
      <color rgb="00D98E99"/>
      <sz val="8.5"/>
    </font>
  </fonts>
  <fills count="10">
    <fill>
      <patternFill/>
    </fill>
    <fill>
      <patternFill patternType="gray125"/>
    </fill>
    <fill>
      <patternFill patternType="solid">
        <fgColor rgb="000B0B0C"/>
      </patternFill>
    </fill>
    <fill>
      <patternFill patternType="solid">
        <fgColor rgb="00141416"/>
      </patternFill>
    </fill>
    <fill>
      <patternFill patternType="solid">
        <fgColor rgb="001A1A1E"/>
      </patternFill>
    </fill>
    <fill>
      <patternFill patternType="solid">
        <fgColor rgb="00C9A55C"/>
      </patternFill>
    </fill>
    <fill>
      <patternFill patternType="solid">
        <fgColor rgb="00E8D3A0"/>
      </patternFill>
    </fill>
    <fill>
      <patternFill patternType="solid">
        <fgColor rgb="001F3A2B"/>
      </patternFill>
    </fill>
    <fill>
      <patternFill patternType="solid">
        <fgColor rgb="003A3220"/>
      </patternFill>
    </fill>
    <fill>
      <patternFill patternType="solid">
        <fgColor rgb="003A1F25"/>
      </patternFill>
    </fill>
  </fills>
  <borders count="16">
    <border>
      <left/>
      <right/>
      <top/>
      <bottom/>
      <diagonal/>
    </border>
    <border>
      <left style="medium">
        <color rgb="00C9A55C"/>
      </left>
      <top style="medium">
        <color rgb="00C9A55C"/>
      </top>
    </border>
    <border>
      <top style="medium">
        <color rgb="00C9A55C"/>
      </top>
    </border>
    <border>
      <right style="medium">
        <color rgb="00C9A55C"/>
      </right>
      <top style="medium">
        <color rgb="00C9A55C"/>
      </top>
    </border>
    <border>
      <left style="medium">
        <color rgb="00C9A55C"/>
      </left>
    </border>
    <border/>
    <border>
      <right style="medium">
        <color rgb="00C9A55C"/>
      </right>
    </border>
    <border>
      <left style="medium">
        <color rgb="00C9A55C"/>
      </left>
      <bottom style="medium">
        <color rgb="00C9A55C"/>
      </bottom>
    </border>
    <border>
      <bottom style="medium">
        <color rgb="00C9A55C"/>
      </bottom>
    </border>
    <border>
      <right style="medium">
        <color rgb="00C9A55C"/>
      </right>
      <bottom style="medium">
        <color rgb="00C9A55C"/>
      </bottom>
    </border>
    <border>
      <left style="medium">
        <color rgb="00C9A55C"/>
      </left>
      <bottom style="thin">
        <color rgb="004A3F2A"/>
      </bottom>
    </border>
    <border>
      <left style="medium">
        <color rgb="00C9A55C"/>
      </left>
      <bottom style="thin">
        <color rgb="002E2E34"/>
      </bottom>
    </border>
    <border>
      <bottom style="thin">
        <color rgb="004A3F2A"/>
      </bottom>
    </border>
    <border>
      <bottom style="thin">
        <color rgb="002E2E34"/>
      </bottom>
    </border>
    <border>
      <right style="medium">
        <color rgb="00C9A55C"/>
      </right>
      <bottom style="thin">
        <color rgb="004A3F2A"/>
      </bottom>
    </border>
    <border>
      <right style="medium">
        <color rgb="00C9A55C"/>
      </right>
      <bottom style="thin">
        <color rgb="002E2E3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164" fontId="8" fillId="5" borderId="0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9" fontId="8" fillId="5" borderId="0" applyAlignment="1" pivotButton="0" quotePrefix="0" xfId="0">
      <alignment horizontal="center" vertical="center"/>
    </xf>
    <xf numFmtId="2" fontId="9" fillId="6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2" pivotButton="0" quotePrefix="0" xfId="0"/>
    <xf numFmtId="0" fontId="0" fillId="4" borderId="3" pivotButton="0" quotePrefix="0" xfId="0"/>
    <xf numFmtId="0" fontId="10" fillId="4" borderId="4" applyAlignment="1" pivotButton="0" quotePrefix="0" xfId="0">
      <alignment horizontal="left" vertical="center" indent="1"/>
    </xf>
    <xf numFmtId="165" fontId="12" fillId="4" borderId="5" applyAlignment="1" pivotButton="0" quotePrefix="0" xfId="0">
      <alignment horizontal="center" vertical="center"/>
    </xf>
    <xf numFmtId="165" fontId="12" fillId="4" borderId="6" applyAlignment="1" pivotButton="0" quotePrefix="0" xfId="0">
      <alignment horizontal="center" vertical="center"/>
    </xf>
    <xf numFmtId="0" fontId="11" fillId="4" borderId="7" applyAlignment="1" pivotButton="0" quotePrefix="0" xfId="0">
      <alignment horizontal="left" vertical="center" indent="1"/>
    </xf>
    <xf numFmtId="0" fontId="0" fillId="4" borderId="8" pivotButton="0" quotePrefix="0" xfId="0"/>
    <xf numFmtId="0" fontId="0" fillId="4" borderId="9" pivotButton="0" quotePrefix="0" xfId="0"/>
    <xf numFmtId="0" fontId="13" fillId="4" borderId="2" applyAlignment="1" pivotButton="0" quotePrefix="0" xfId="0">
      <alignment horizontal="right" vertical="center" indent="1"/>
    </xf>
    <xf numFmtId="0" fontId="0" fillId="0" borderId="3" pivotButton="0" quotePrefix="0" xfId="0"/>
    <xf numFmtId="0" fontId="0" fillId="4" borderId="5" pivotButton="0" quotePrefix="0" xfId="0"/>
    <xf numFmtId="166" fontId="14" fillId="4" borderId="5" applyAlignment="1" pivotButton="0" quotePrefix="0" xfId="0">
      <alignment horizontal="right" vertical="center" indent="1"/>
    </xf>
    <xf numFmtId="0" fontId="0" fillId="0" borderId="6" pivotButton="0" quotePrefix="0" xfId="0"/>
    <xf numFmtId="0" fontId="7" fillId="4" borderId="10" applyAlignment="1" pivotButton="0" quotePrefix="0" xfId="0">
      <alignment horizontal="left" vertical="center" indent="1"/>
    </xf>
    <xf numFmtId="0" fontId="7" fillId="4" borderId="12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 indent="1"/>
    </xf>
    <xf numFmtId="0" fontId="16" fillId="4" borderId="13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  <xf numFmtId="165" fontId="0" fillId="2" borderId="0" pivotButton="0" quotePrefix="0" xfId="0"/>
    <xf numFmtId="165" fontId="0" fillId="0" borderId="0" pivotButton="0" quotePrefix="0" xfId="0"/>
    <xf numFmtId="0" fontId="0" fillId="4" borderId="7" pivotButton="0" quotePrefix="0" xfId="0"/>
    <xf numFmtId="0" fontId="17" fillId="7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b val="1"/>
        <color rgb="007FBF9A"/>
      </font>
      <fill>
        <patternFill patternType="solid">
          <fgColor rgb="001F3A2B"/>
        </patternFill>
      </fill>
    </dxf>
    <dxf>
      <font>
        <b val="1"/>
        <color rgb="00E3C77E"/>
      </font>
      <fill>
        <patternFill patternType="solid">
          <fgColor rgb="003A3220"/>
        </patternFill>
      </fill>
    </dxf>
    <dxf>
      <font>
        <b val="1"/>
        <color rgb="00D98E99"/>
      </font>
      <fill>
        <patternFill patternType="solid">
          <fgColor rgb="003A1F2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55C"/>
    <outlinePr summaryBelow="1" summaryRight="1"/>
    <pageSetUpPr fitToPage="1"/>
  </sheetPr>
  <dimension ref="A1:M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" t="n"/>
      <c r="B2" s="2" t="inlineStr">
        <is>
          <t>◎  TIPRADAR</t>
        </is>
      </c>
      <c r="H2" s="1" t="n"/>
      <c r="I2" s="1" t="n"/>
      <c r="J2" s="1" t="n"/>
      <c r="K2" s="1" t="n"/>
    </row>
    <row r="3" ht="40" customHeight="1">
      <c r="A3" s="1" t="n"/>
      <c r="B3" s="3" t="inlineStr">
        <is>
          <t>Návratnosť členstva</t>
        </is>
      </c>
      <c r="H3" s="1" t="n"/>
      <c r="I3" s="1" t="n"/>
      <c r="J3" s="1" t="n"/>
      <c r="K3" s="1" t="n"/>
    </row>
    <row r="4" ht="26" customHeight="1">
      <c r="A4" s="1" t="n"/>
      <c r="B4" s="4" t="inlineStr">
        <is>
          <t>Pásmo dôvery 68 – 80 %  ·  30 tipov mesačne (1 denne)</t>
        </is>
      </c>
      <c r="H4" s="1" t="n"/>
      <c r="I4" s="1" t="n"/>
      <c r="J4" s="1" t="n"/>
      <c r="K4" s="1" t="n"/>
    </row>
    <row r="5" ht="30" customHeight="1">
      <c r="A5" s="1" t="n"/>
      <c r="B5" s="5" t="inlineStr">
        <is>
          <t>Priemerná mesačná úspešnosť, pri ktorej sa vrátia vklady aj cena členstva. Pod percentom: koľko tipov musí vyjsť z mesiaca a zo 100 tipov. Zlaté políčka môžete prepísať.</t>
        </is>
      </c>
      <c r="H5" s="1" t="n"/>
      <c r="I5" s="1" t="n"/>
      <c r="J5" s="1" t="n"/>
      <c r="K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20" customHeight="1">
      <c r="A7" s="1" t="n"/>
      <c r="B7" s="6" t="inlineStr">
        <is>
          <t>VSTUPY</t>
        </is>
      </c>
      <c r="C7" s="7" t="inlineStr">
        <is>
          <t>BANK</t>
        </is>
      </c>
      <c r="D7" s="7" t="inlineStr">
        <is>
          <t>TIPOV MESAČNE</t>
        </is>
      </c>
      <c r="E7" s="7" t="inlineStr">
        <is>
          <t>MODEL MIERI NA</t>
        </is>
      </c>
      <c r="F7" s="1" t="n"/>
      <c r="G7" s="1" t="n"/>
      <c r="H7" s="1" t="n"/>
      <c r="I7" s="1" t="n"/>
      <c r="J7" s="1" t="n"/>
      <c r="K7" s="1" t="n"/>
    </row>
    <row r="8" ht="30" customHeight="1">
      <c r="A8" s="1" t="n"/>
      <c r="B8" s="8" t="inlineStr">
        <is>
          <t>Bank · tipy · cieľ modelu</t>
        </is>
      </c>
      <c r="C8" s="9" t="n">
        <v>1000</v>
      </c>
      <c r="D8" s="10" t="n">
        <v>30</v>
      </c>
      <c r="E8" s="11" t="n">
        <v>0.73</v>
      </c>
      <c r="F8" s="1" t="n"/>
      <c r="G8" s="1" t="n"/>
      <c r="H8" s="1" t="n"/>
      <c r="I8" s="1" t="n"/>
      <c r="J8" s="1" t="n"/>
      <c r="K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26" customHeight="1">
      <c r="A10" s="1" t="n"/>
      <c r="B10" s="6" t="inlineStr">
        <is>
          <t>KURZY</t>
        </is>
      </c>
      <c r="C10" s="12" t="n">
        <v>1.55</v>
      </c>
      <c r="D10" s="12" t="n">
        <v>1.62</v>
      </c>
      <c r="E10" s="12" t="n">
        <v>1.69</v>
      </c>
      <c r="F10" s="12" t="n">
        <v>1.76</v>
      </c>
      <c r="G10" s="12" t="n">
        <v>1.83</v>
      </c>
      <c r="H10" s="1" t="n"/>
      <c r="I10" s="1" t="n"/>
      <c r="J10" s="1" t="n"/>
      <c r="K10" s="1" t="n"/>
    </row>
    <row r="11" ht="2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A12" s="1" t="n"/>
      <c r="B12" s="13" t="inlineStr">
        <is>
          <t>ZÁKLAD</t>
        </is>
      </c>
      <c r="C12" s="14" t="n"/>
      <c r="D12" s="14" t="n"/>
      <c r="E12" s="14" t="n"/>
      <c r="F12" s="14" t="n"/>
      <c r="G12" s="15" t="n"/>
      <c r="H12" s="1" t="n"/>
      <c r="I12" s="1" t="n"/>
      <c r="J12" s="1" t="n"/>
      <c r="K12" s="1" t="n"/>
    </row>
    <row r="13" ht="26" customHeight="1">
      <c r="A13" s="1" t="n"/>
      <c r="B13" s="16" t="inlineStr">
        <is>
          <t>Bez členstva</t>
        </is>
      </c>
      <c r="C13" s="17">
        <f>1/C$10</f>
        <v/>
      </c>
      <c r="D13" s="17">
        <f>1/D$10</f>
        <v/>
      </c>
      <c r="E13" s="17">
        <f>1/E$10</f>
        <v/>
      </c>
      <c r="F13" s="17">
        <f>1/F$10</f>
        <v/>
      </c>
      <c r="G13" s="18">
        <f>1/G$10</f>
        <v/>
      </c>
      <c r="H13" s="1" t="n"/>
      <c r="I13" s="1" t="n"/>
      <c r="J13" s="1" t="n"/>
      <c r="K13" s="1" t="n"/>
    </row>
    <row r="14" ht="20" customHeight="1">
      <c r="A14" s="1" t="n"/>
      <c r="B14" s="19" t="inlineStr">
        <is>
          <t>len aby stávky neboli v mínuse</t>
        </is>
      </c>
      <c r="C14" s="20" t="n"/>
      <c r="D14" s="20" t="n"/>
      <c r="E14" s="20" t="n"/>
      <c r="F14" s="20" t="n"/>
      <c r="G14" s="21" t="n"/>
      <c r="H14" s="1" t="n"/>
      <c r="I14" s="1" t="n"/>
      <c r="J14" s="1" t="n"/>
      <c r="K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20" customHeight="1">
      <c r="A16" s="1" t="n"/>
      <c r="B16" s="13" t="inlineStr">
        <is>
          <t>SILVER</t>
        </is>
      </c>
      <c r="C16" s="14" t="n"/>
      <c r="D16" s="14" t="n"/>
      <c r="E16" s="14" t="n"/>
      <c r="F16" s="22" t="inlineStr">
        <is>
          <t>49 €</t>
        </is>
      </c>
      <c r="G16" s="23" t="n"/>
      <c r="H16" s="1" t="n"/>
      <c r="I16" s="1" t="n"/>
      <c r="J16" s="1" t="n"/>
      <c r="K16" s="1" t="n"/>
    </row>
    <row r="17" ht="26" customHeight="1">
      <c r="A17" s="1" t="n"/>
      <c r="B17" s="16" t="inlineStr">
        <is>
          <t>Členstvo – 1 mesiac</t>
        </is>
      </c>
      <c r="C17" s="24" t="n"/>
      <c r="D17" s="24" t="n"/>
      <c r="E17" s="24" t="n"/>
      <c r="F17" s="25">
        <f>49/1</f>
        <v/>
      </c>
      <c r="G17" s="26" t="n"/>
      <c r="H17" s="1" t="n"/>
      <c r="I17" s="1" t="n"/>
      <c r="J17" s="1" t="n"/>
      <c r="K17" s="1" t="n"/>
    </row>
    <row r="18" ht="20" customHeight="1">
      <c r="A18" s="1" t="n"/>
      <c r="B18" s="27" t="inlineStr">
        <is>
          <t>VKLAD NA TIP</t>
        </is>
      </c>
      <c r="C18" s="28">
        <f>"KURZ "&amp;TEXT(C$10,"0.00")</f>
        <v/>
      </c>
      <c r="D18" s="28">
        <f>"KURZ "&amp;TEXT(D$10,"0.00")</f>
        <v/>
      </c>
      <c r="E18" s="28">
        <f>"KURZ "&amp;TEXT(E$10,"0.00")</f>
        <v/>
      </c>
      <c r="F18" s="28">
        <f>"KURZ "&amp;TEXT(F$10,"0.00")</f>
        <v/>
      </c>
      <c r="G18" s="29">
        <f>"KURZ "&amp;TEXT(G$10,"0.00")</f>
        <v/>
      </c>
      <c r="H18" s="1" t="n"/>
      <c r="I18" s="1" t="n"/>
      <c r="J18" s="1" t="n"/>
      <c r="K18" s="1" t="n"/>
    </row>
    <row r="19" ht="38" customHeight="1">
      <c r="A19" s="1" t="n"/>
      <c r="B19" s="30">
        <f>"1 %   ("&amp;TEXT($C$8*0.01,"0")&amp;" €)"</f>
        <v/>
      </c>
      <c r="C19" s="31">
        <f>FIXED(I19*100,1)&amp;" %"&amp;CHAR(10)&amp;ROUNDUP(I19*$D$8,0)&amp;" z "&amp;$D$8&amp;"  ·  "&amp;ROUNDUP(I19*100,0)&amp;" zo 100"</f>
        <v/>
      </c>
      <c r="D19" s="31">
        <f>FIXED(J19*100,1)&amp;" %"&amp;CHAR(10)&amp;ROUNDUP(J19*$D$8,0)&amp;" z "&amp;$D$8&amp;"  ·  "&amp;ROUNDUP(J19*100,0)&amp;" zo 100"</f>
        <v/>
      </c>
      <c r="E19" s="31">
        <f>FIXED(K19*100,1)&amp;" %"&amp;CHAR(10)&amp;ROUNDUP(K19*$D$8,0)&amp;" z "&amp;$D$8&amp;"  ·  "&amp;ROUNDUP(K19*100,0)&amp;" zo 100"</f>
        <v/>
      </c>
      <c r="F19" s="31">
        <f>FIXED(L19*100,1)&amp;" %"&amp;CHAR(10)&amp;ROUNDUP(L19*$D$8,0)&amp;" z "&amp;$D$8&amp;"  ·  "&amp;ROUNDUP(L19*100,0)&amp;" zo 100"</f>
        <v/>
      </c>
      <c r="G19" s="32">
        <f>FIXED(M19*100,1)&amp;" %"&amp;CHAR(10)&amp;ROUNDUP(M19*$D$8,0)&amp;" z "&amp;$D$8&amp;"  ·  "&amp;ROUNDUP(M19*100,0)&amp;" zo 100"</f>
        <v/>
      </c>
      <c r="H19" s="1" t="n"/>
      <c r="I19" s="33">
        <f>(1+$F$17/($D$8*$C$8*0.01))/C$10</f>
        <v/>
      </c>
      <c r="J19" s="33">
        <f>(1+$F$17/($D$8*$C$8*0.01))/D$10</f>
        <v/>
      </c>
      <c r="K19" s="33">
        <f>(1+$F$17/($D$8*$C$8*0.01))/E$10</f>
        <v/>
      </c>
      <c r="L19" s="34">
        <f>(1+$F$17/($D$8*$C$8*0.01))/F$10</f>
        <v/>
      </c>
      <c r="M19" s="34">
        <f>(1+$F$17/($D$8*$C$8*0.01))/G$10</f>
        <v/>
      </c>
    </row>
    <row r="20" ht="38" customHeight="1">
      <c r="A20" s="1" t="n"/>
      <c r="B20" s="30">
        <f>"2 %   ("&amp;TEXT($C$8*0.02,"0")&amp;" €)"</f>
        <v/>
      </c>
      <c r="C20" s="31">
        <f>FIXED(I20*100,1)&amp;" %"&amp;CHAR(10)&amp;ROUNDUP(I20*$D$8,0)&amp;" z "&amp;$D$8&amp;"  ·  "&amp;ROUNDUP(I20*100,0)&amp;" zo 100"</f>
        <v/>
      </c>
      <c r="D20" s="31">
        <f>FIXED(J20*100,1)&amp;" %"&amp;CHAR(10)&amp;ROUNDUP(J20*$D$8,0)&amp;" z "&amp;$D$8&amp;"  ·  "&amp;ROUNDUP(J20*100,0)&amp;" zo 100"</f>
        <v/>
      </c>
      <c r="E20" s="31">
        <f>FIXED(K20*100,1)&amp;" %"&amp;CHAR(10)&amp;ROUNDUP(K20*$D$8,0)&amp;" z "&amp;$D$8&amp;"  ·  "&amp;ROUNDUP(K20*100,0)&amp;" zo 100"</f>
        <v/>
      </c>
      <c r="F20" s="31">
        <f>FIXED(L20*100,1)&amp;" %"&amp;CHAR(10)&amp;ROUNDUP(L20*$D$8,0)&amp;" z "&amp;$D$8&amp;"  ·  "&amp;ROUNDUP(L20*100,0)&amp;" zo 100"</f>
        <v/>
      </c>
      <c r="G20" s="32">
        <f>FIXED(M20*100,1)&amp;" %"&amp;CHAR(10)&amp;ROUNDUP(M20*$D$8,0)&amp;" z "&amp;$D$8&amp;"  ·  "&amp;ROUNDUP(M20*100,0)&amp;" zo 100"</f>
        <v/>
      </c>
      <c r="H20" s="1" t="n"/>
      <c r="I20" s="33">
        <f>(1+$F$17/($D$8*$C$8*0.02))/C$10</f>
        <v/>
      </c>
      <c r="J20" s="33">
        <f>(1+$F$17/($D$8*$C$8*0.02))/D$10</f>
        <v/>
      </c>
      <c r="K20" s="33">
        <f>(1+$F$17/($D$8*$C$8*0.02))/E$10</f>
        <v/>
      </c>
      <c r="L20" s="34">
        <f>(1+$F$17/($D$8*$C$8*0.02))/F$10</f>
        <v/>
      </c>
      <c r="M20" s="34">
        <f>(1+$F$17/($D$8*$C$8*0.02))/G$10</f>
        <v/>
      </c>
    </row>
    <row r="21" ht="38" customHeight="1">
      <c r="A21" s="1" t="n"/>
      <c r="B21" s="30">
        <f>"3 %   ("&amp;TEXT($C$8*0.03,"0")&amp;" €)"</f>
        <v/>
      </c>
      <c r="C21" s="31">
        <f>FIXED(I21*100,1)&amp;" %"&amp;CHAR(10)&amp;ROUNDUP(I21*$D$8,0)&amp;" z "&amp;$D$8&amp;"  ·  "&amp;ROUNDUP(I21*100,0)&amp;" zo 100"</f>
        <v/>
      </c>
      <c r="D21" s="31">
        <f>FIXED(J21*100,1)&amp;" %"&amp;CHAR(10)&amp;ROUNDUP(J21*$D$8,0)&amp;" z "&amp;$D$8&amp;"  ·  "&amp;ROUNDUP(J21*100,0)&amp;" zo 100"</f>
        <v/>
      </c>
      <c r="E21" s="31">
        <f>FIXED(K21*100,1)&amp;" %"&amp;CHAR(10)&amp;ROUNDUP(K21*$D$8,0)&amp;" z "&amp;$D$8&amp;"  ·  "&amp;ROUNDUP(K21*100,0)&amp;" zo 100"</f>
        <v/>
      </c>
      <c r="F21" s="31">
        <f>FIXED(L21*100,1)&amp;" %"&amp;CHAR(10)&amp;ROUNDUP(L21*$D$8,0)&amp;" z "&amp;$D$8&amp;"  ·  "&amp;ROUNDUP(L21*100,0)&amp;" zo 100"</f>
        <v/>
      </c>
      <c r="G21" s="32">
        <f>FIXED(M21*100,1)&amp;" %"&amp;CHAR(10)&amp;ROUNDUP(M21*$D$8,0)&amp;" z "&amp;$D$8&amp;"  ·  "&amp;ROUNDUP(M21*100,0)&amp;" zo 100"</f>
        <v/>
      </c>
      <c r="H21" s="1" t="n"/>
      <c r="I21" s="33">
        <f>(1+$F$17/($D$8*$C$8*0.03))/C$10</f>
        <v/>
      </c>
      <c r="J21" s="33">
        <f>(1+$F$17/($D$8*$C$8*0.03))/D$10</f>
        <v/>
      </c>
      <c r="K21" s="33">
        <f>(1+$F$17/($D$8*$C$8*0.03))/E$10</f>
        <v/>
      </c>
      <c r="L21" s="34">
        <f>(1+$F$17/($D$8*$C$8*0.03))/F$10</f>
        <v/>
      </c>
      <c r="M21" s="34">
        <f>(1+$F$17/($D$8*$C$8*0.03))/G$10</f>
        <v/>
      </c>
    </row>
    <row r="22" ht="38" customHeight="1">
      <c r="A22" s="1" t="n"/>
      <c r="B22" s="30">
        <f>"5 %   ("&amp;TEXT($C$8*0.05,"0")&amp;" €)"</f>
        <v/>
      </c>
      <c r="C22" s="31">
        <f>FIXED(I22*100,1)&amp;" %"&amp;CHAR(10)&amp;ROUNDUP(I22*$D$8,0)&amp;" z "&amp;$D$8&amp;"  ·  "&amp;ROUNDUP(I22*100,0)&amp;" zo 100"</f>
        <v/>
      </c>
      <c r="D22" s="31">
        <f>FIXED(J22*100,1)&amp;" %"&amp;CHAR(10)&amp;ROUNDUP(J22*$D$8,0)&amp;" z "&amp;$D$8&amp;"  ·  "&amp;ROUNDUP(J22*100,0)&amp;" zo 100"</f>
        <v/>
      </c>
      <c r="E22" s="31">
        <f>FIXED(K22*100,1)&amp;" %"&amp;CHAR(10)&amp;ROUNDUP(K22*$D$8,0)&amp;" z "&amp;$D$8&amp;"  ·  "&amp;ROUNDUP(K22*100,0)&amp;" zo 100"</f>
        <v/>
      </c>
      <c r="F22" s="31">
        <f>FIXED(L22*100,1)&amp;" %"&amp;CHAR(10)&amp;ROUNDUP(L22*$D$8,0)&amp;" z "&amp;$D$8&amp;"  ·  "&amp;ROUNDUP(L22*100,0)&amp;" zo 100"</f>
        <v/>
      </c>
      <c r="G22" s="32">
        <f>FIXED(M22*100,1)&amp;" %"&amp;CHAR(10)&amp;ROUNDUP(M22*$D$8,0)&amp;" z "&amp;$D$8&amp;"  ·  "&amp;ROUNDUP(M22*100,0)&amp;" zo 100"</f>
        <v/>
      </c>
      <c r="H22" s="1" t="n"/>
      <c r="I22" s="33">
        <f>(1+$F$17/($D$8*$C$8*0.05))/C$10</f>
        <v/>
      </c>
      <c r="J22" s="33">
        <f>(1+$F$17/($D$8*$C$8*0.05))/D$10</f>
        <v/>
      </c>
      <c r="K22" s="33">
        <f>(1+$F$17/($D$8*$C$8*0.05))/E$10</f>
        <v/>
      </c>
      <c r="L22" s="34">
        <f>(1+$F$17/($D$8*$C$8*0.05))/F$10</f>
        <v/>
      </c>
      <c r="M22" s="34">
        <f>(1+$F$17/($D$8*$C$8*0.05))/G$10</f>
        <v/>
      </c>
    </row>
    <row r="23" ht="8" customHeight="1">
      <c r="A23" s="1" t="n"/>
      <c r="B23" s="35" t="n"/>
      <c r="C23" s="20" t="n"/>
      <c r="D23" s="20" t="n"/>
      <c r="E23" s="20" t="n"/>
      <c r="F23" s="20" t="n"/>
      <c r="G23" s="21" t="n"/>
      <c r="H23" s="1" t="n"/>
      <c r="I23" s="1" t="n"/>
      <c r="J23" s="1" t="n"/>
      <c r="K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20" customHeight="1">
      <c r="A25" s="1" t="n"/>
      <c r="B25" s="13" t="inlineStr">
        <is>
          <t>GOLD</t>
        </is>
      </c>
      <c r="C25" s="14" t="n"/>
      <c r="D25" s="14" t="n"/>
      <c r="E25" s="14" t="n"/>
      <c r="F25" s="22" t="inlineStr">
        <is>
          <t>119 €</t>
        </is>
      </c>
      <c r="G25" s="23" t="n"/>
      <c r="H25" s="1" t="n"/>
      <c r="I25" s="1" t="n"/>
      <c r="J25" s="1" t="n"/>
      <c r="K25" s="1" t="n"/>
    </row>
    <row r="26" ht="26" customHeight="1">
      <c r="A26" s="1" t="n"/>
      <c r="B26" s="16" t="inlineStr">
        <is>
          <t>Členstvo – 3 mesiace</t>
        </is>
      </c>
      <c r="C26" s="24" t="n"/>
      <c r="D26" s="24" t="n"/>
      <c r="E26" s="24" t="n"/>
      <c r="F26" s="25">
        <f>119/3</f>
        <v/>
      </c>
      <c r="G26" s="26" t="n"/>
      <c r="H26" s="1" t="n"/>
      <c r="I26" s="1" t="n"/>
      <c r="J26" s="1" t="n"/>
      <c r="K26" s="1" t="n"/>
    </row>
    <row r="27" ht="20" customHeight="1">
      <c r="A27" s="1" t="n"/>
      <c r="B27" s="27" t="inlineStr">
        <is>
          <t>VKLAD NA TIP</t>
        </is>
      </c>
      <c r="C27" s="28">
        <f>"KURZ "&amp;TEXT(C$10,"0.00")</f>
        <v/>
      </c>
      <c r="D27" s="28">
        <f>"KURZ "&amp;TEXT(D$10,"0.00")</f>
        <v/>
      </c>
      <c r="E27" s="28">
        <f>"KURZ "&amp;TEXT(E$10,"0.00")</f>
        <v/>
      </c>
      <c r="F27" s="28">
        <f>"KURZ "&amp;TEXT(F$10,"0.00")</f>
        <v/>
      </c>
      <c r="G27" s="29">
        <f>"KURZ "&amp;TEXT(G$10,"0.00")</f>
        <v/>
      </c>
      <c r="H27" s="1" t="n"/>
      <c r="I27" s="1" t="n"/>
      <c r="J27" s="1" t="n"/>
      <c r="K27" s="1" t="n"/>
    </row>
    <row r="28" ht="38" customHeight="1">
      <c r="A28" s="1" t="n"/>
      <c r="B28" s="30">
        <f>"1 %   ("&amp;TEXT($C$8*0.01,"0")&amp;" €)"</f>
        <v/>
      </c>
      <c r="C28" s="31">
        <f>FIXED(I28*100,1)&amp;" %"&amp;CHAR(10)&amp;ROUNDUP(I28*$D$8,0)&amp;" z "&amp;$D$8&amp;"  ·  "&amp;ROUNDUP(I28*100,0)&amp;" zo 100"</f>
        <v/>
      </c>
      <c r="D28" s="31">
        <f>FIXED(J28*100,1)&amp;" %"&amp;CHAR(10)&amp;ROUNDUP(J28*$D$8,0)&amp;" z "&amp;$D$8&amp;"  ·  "&amp;ROUNDUP(J28*100,0)&amp;" zo 100"</f>
        <v/>
      </c>
      <c r="E28" s="31">
        <f>FIXED(K28*100,1)&amp;" %"&amp;CHAR(10)&amp;ROUNDUP(K28*$D$8,0)&amp;" z "&amp;$D$8&amp;"  ·  "&amp;ROUNDUP(K28*100,0)&amp;" zo 100"</f>
        <v/>
      </c>
      <c r="F28" s="31">
        <f>FIXED(L28*100,1)&amp;" %"&amp;CHAR(10)&amp;ROUNDUP(L28*$D$8,0)&amp;" z "&amp;$D$8&amp;"  ·  "&amp;ROUNDUP(L28*100,0)&amp;" zo 100"</f>
        <v/>
      </c>
      <c r="G28" s="32">
        <f>FIXED(M28*100,1)&amp;" %"&amp;CHAR(10)&amp;ROUNDUP(M28*$D$8,0)&amp;" z "&amp;$D$8&amp;"  ·  "&amp;ROUNDUP(M28*100,0)&amp;" zo 100"</f>
        <v/>
      </c>
      <c r="H28" s="1" t="n"/>
      <c r="I28" s="33">
        <f>(1+$F$26/($D$8*$C$8*0.01))/C$10</f>
        <v/>
      </c>
      <c r="J28" s="33">
        <f>(1+$F$26/($D$8*$C$8*0.01))/D$10</f>
        <v/>
      </c>
      <c r="K28" s="33">
        <f>(1+$F$26/($D$8*$C$8*0.01))/E$10</f>
        <v/>
      </c>
      <c r="L28" s="34">
        <f>(1+$F$26/($D$8*$C$8*0.01))/F$10</f>
        <v/>
      </c>
      <c r="M28" s="34">
        <f>(1+$F$26/($D$8*$C$8*0.01))/G$10</f>
        <v/>
      </c>
    </row>
    <row r="29" ht="38" customHeight="1">
      <c r="A29" s="1" t="n"/>
      <c r="B29" s="30">
        <f>"2 %   ("&amp;TEXT($C$8*0.02,"0")&amp;" €)"</f>
        <v/>
      </c>
      <c r="C29" s="31">
        <f>FIXED(I29*100,1)&amp;" %"&amp;CHAR(10)&amp;ROUNDUP(I29*$D$8,0)&amp;" z "&amp;$D$8&amp;"  ·  "&amp;ROUNDUP(I29*100,0)&amp;" zo 100"</f>
        <v/>
      </c>
      <c r="D29" s="31">
        <f>FIXED(J29*100,1)&amp;" %"&amp;CHAR(10)&amp;ROUNDUP(J29*$D$8,0)&amp;" z "&amp;$D$8&amp;"  ·  "&amp;ROUNDUP(J29*100,0)&amp;" zo 100"</f>
        <v/>
      </c>
      <c r="E29" s="31">
        <f>FIXED(K29*100,1)&amp;" %"&amp;CHAR(10)&amp;ROUNDUP(K29*$D$8,0)&amp;" z "&amp;$D$8&amp;"  ·  "&amp;ROUNDUP(K29*100,0)&amp;" zo 100"</f>
        <v/>
      </c>
      <c r="F29" s="31">
        <f>FIXED(L29*100,1)&amp;" %"&amp;CHAR(10)&amp;ROUNDUP(L29*$D$8,0)&amp;" z "&amp;$D$8&amp;"  ·  "&amp;ROUNDUP(L29*100,0)&amp;" zo 100"</f>
        <v/>
      </c>
      <c r="G29" s="32">
        <f>FIXED(M29*100,1)&amp;" %"&amp;CHAR(10)&amp;ROUNDUP(M29*$D$8,0)&amp;" z "&amp;$D$8&amp;"  ·  "&amp;ROUNDUP(M29*100,0)&amp;" zo 100"</f>
        <v/>
      </c>
      <c r="H29" s="1" t="n"/>
      <c r="I29" s="33">
        <f>(1+$F$26/($D$8*$C$8*0.02))/C$10</f>
        <v/>
      </c>
      <c r="J29" s="33">
        <f>(1+$F$26/($D$8*$C$8*0.02))/D$10</f>
        <v/>
      </c>
      <c r="K29" s="33">
        <f>(1+$F$26/($D$8*$C$8*0.02))/E$10</f>
        <v/>
      </c>
      <c r="L29" s="34">
        <f>(1+$F$26/($D$8*$C$8*0.02))/F$10</f>
        <v/>
      </c>
      <c r="M29" s="34">
        <f>(1+$F$26/($D$8*$C$8*0.02))/G$10</f>
        <v/>
      </c>
    </row>
    <row r="30" ht="38" customHeight="1">
      <c r="A30" s="1" t="n"/>
      <c r="B30" s="30">
        <f>"3 %   ("&amp;TEXT($C$8*0.03,"0")&amp;" €)"</f>
        <v/>
      </c>
      <c r="C30" s="31">
        <f>FIXED(I30*100,1)&amp;" %"&amp;CHAR(10)&amp;ROUNDUP(I30*$D$8,0)&amp;" z "&amp;$D$8&amp;"  ·  "&amp;ROUNDUP(I30*100,0)&amp;" zo 100"</f>
        <v/>
      </c>
      <c r="D30" s="31">
        <f>FIXED(J30*100,1)&amp;" %"&amp;CHAR(10)&amp;ROUNDUP(J30*$D$8,0)&amp;" z "&amp;$D$8&amp;"  ·  "&amp;ROUNDUP(J30*100,0)&amp;" zo 100"</f>
        <v/>
      </c>
      <c r="E30" s="31">
        <f>FIXED(K30*100,1)&amp;" %"&amp;CHAR(10)&amp;ROUNDUP(K30*$D$8,0)&amp;" z "&amp;$D$8&amp;"  ·  "&amp;ROUNDUP(K30*100,0)&amp;" zo 100"</f>
        <v/>
      </c>
      <c r="F30" s="31">
        <f>FIXED(L30*100,1)&amp;" %"&amp;CHAR(10)&amp;ROUNDUP(L30*$D$8,0)&amp;" z "&amp;$D$8&amp;"  ·  "&amp;ROUNDUP(L30*100,0)&amp;" zo 100"</f>
        <v/>
      </c>
      <c r="G30" s="32">
        <f>FIXED(M30*100,1)&amp;" %"&amp;CHAR(10)&amp;ROUNDUP(M30*$D$8,0)&amp;" z "&amp;$D$8&amp;"  ·  "&amp;ROUNDUP(M30*100,0)&amp;" zo 100"</f>
        <v/>
      </c>
      <c r="H30" s="1" t="n"/>
      <c r="I30" s="33">
        <f>(1+$F$26/($D$8*$C$8*0.03))/C$10</f>
        <v/>
      </c>
      <c r="J30" s="33">
        <f>(1+$F$26/($D$8*$C$8*0.03))/D$10</f>
        <v/>
      </c>
      <c r="K30" s="33">
        <f>(1+$F$26/($D$8*$C$8*0.03))/E$10</f>
        <v/>
      </c>
      <c r="L30" s="34">
        <f>(1+$F$26/($D$8*$C$8*0.03))/F$10</f>
        <v/>
      </c>
      <c r="M30" s="34">
        <f>(1+$F$26/($D$8*$C$8*0.03))/G$10</f>
        <v/>
      </c>
    </row>
    <row r="31" ht="38" customHeight="1">
      <c r="A31" s="1" t="n"/>
      <c r="B31" s="30">
        <f>"5 %   ("&amp;TEXT($C$8*0.05,"0")&amp;" €)"</f>
        <v/>
      </c>
      <c r="C31" s="31">
        <f>FIXED(I31*100,1)&amp;" %"&amp;CHAR(10)&amp;ROUNDUP(I31*$D$8,0)&amp;" z "&amp;$D$8&amp;"  ·  "&amp;ROUNDUP(I31*100,0)&amp;" zo 100"</f>
        <v/>
      </c>
      <c r="D31" s="31">
        <f>FIXED(J31*100,1)&amp;" %"&amp;CHAR(10)&amp;ROUNDUP(J31*$D$8,0)&amp;" z "&amp;$D$8&amp;"  ·  "&amp;ROUNDUP(J31*100,0)&amp;" zo 100"</f>
        <v/>
      </c>
      <c r="E31" s="31">
        <f>FIXED(K31*100,1)&amp;" %"&amp;CHAR(10)&amp;ROUNDUP(K31*$D$8,0)&amp;" z "&amp;$D$8&amp;"  ·  "&amp;ROUNDUP(K31*100,0)&amp;" zo 100"</f>
        <v/>
      </c>
      <c r="F31" s="31">
        <f>FIXED(L31*100,1)&amp;" %"&amp;CHAR(10)&amp;ROUNDUP(L31*$D$8,0)&amp;" z "&amp;$D$8&amp;"  ·  "&amp;ROUNDUP(L31*100,0)&amp;" zo 100"</f>
        <v/>
      </c>
      <c r="G31" s="32">
        <f>FIXED(M31*100,1)&amp;" %"&amp;CHAR(10)&amp;ROUNDUP(M31*$D$8,0)&amp;" z "&amp;$D$8&amp;"  ·  "&amp;ROUNDUP(M31*100,0)&amp;" zo 100"</f>
        <v/>
      </c>
      <c r="H31" s="1" t="n"/>
      <c r="I31" s="33">
        <f>(1+$F$26/($D$8*$C$8*0.05))/C$10</f>
        <v/>
      </c>
      <c r="J31" s="33">
        <f>(1+$F$26/($D$8*$C$8*0.05))/D$10</f>
        <v/>
      </c>
      <c r="K31" s="33">
        <f>(1+$F$26/($D$8*$C$8*0.05))/E$10</f>
        <v/>
      </c>
      <c r="L31" s="34">
        <f>(1+$F$26/($D$8*$C$8*0.05))/F$10</f>
        <v/>
      </c>
      <c r="M31" s="34">
        <f>(1+$F$26/($D$8*$C$8*0.05))/G$10</f>
        <v/>
      </c>
    </row>
    <row r="32" ht="8" customHeight="1">
      <c r="A32" s="1" t="n"/>
      <c r="B32" s="35" t="n"/>
      <c r="C32" s="20" t="n"/>
      <c r="D32" s="20" t="n"/>
      <c r="E32" s="20" t="n"/>
      <c r="F32" s="20" t="n"/>
      <c r="G32" s="21" t="n"/>
      <c r="H32" s="1" t="n"/>
      <c r="I32" s="1" t="n"/>
      <c r="J32" s="1" t="n"/>
      <c r="K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20" customHeight="1">
      <c r="A34" s="1" t="n"/>
      <c r="B34" s="13" t="inlineStr">
        <is>
          <t>PLATINUM</t>
        </is>
      </c>
      <c r="C34" s="14" t="n"/>
      <c r="D34" s="14" t="n"/>
      <c r="E34" s="14" t="n"/>
      <c r="F34" s="22" t="inlineStr">
        <is>
          <t>219 €</t>
        </is>
      </c>
      <c r="G34" s="23" t="n"/>
      <c r="H34" s="1" t="n"/>
      <c r="I34" s="1" t="n"/>
      <c r="J34" s="1" t="n"/>
      <c r="K34" s="1" t="n"/>
    </row>
    <row r="35" ht="26" customHeight="1">
      <c r="A35" s="1" t="n"/>
      <c r="B35" s="16" t="inlineStr">
        <is>
          <t>Členstvo – 6 mesiacov</t>
        </is>
      </c>
      <c r="C35" s="24" t="n"/>
      <c r="D35" s="24" t="n"/>
      <c r="E35" s="24" t="n"/>
      <c r="F35" s="25">
        <f>219/6</f>
        <v/>
      </c>
      <c r="G35" s="26" t="n"/>
      <c r="H35" s="1" t="n"/>
      <c r="I35" s="1" t="n"/>
      <c r="J35" s="1" t="n"/>
      <c r="K35" s="1" t="n"/>
    </row>
    <row r="36" ht="20" customHeight="1">
      <c r="A36" s="1" t="n"/>
      <c r="B36" s="27" t="inlineStr">
        <is>
          <t>VKLAD NA TIP</t>
        </is>
      </c>
      <c r="C36" s="28">
        <f>"KURZ "&amp;TEXT(C$10,"0.00")</f>
        <v/>
      </c>
      <c r="D36" s="28">
        <f>"KURZ "&amp;TEXT(D$10,"0.00")</f>
        <v/>
      </c>
      <c r="E36" s="28">
        <f>"KURZ "&amp;TEXT(E$10,"0.00")</f>
        <v/>
      </c>
      <c r="F36" s="28">
        <f>"KURZ "&amp;TEXT(F$10,"0.00")</f>
        <v/>
      </c>
      <c r="G36" s="29">
        <f>"KURZ "&amp;TEXT(G$10,"0.00")</f>
        <v/>
      </c>
      <c r="H36" s="1" t="n"/>
      <c r="I36" s="1" t="n"/>
      <c r="J36" s="1" t="n"/>
      <c r="K36" s="1" t="n"/>
    </row>
    <row r="37" ht="38" customHeight="1">
      <c r="A37" s="1" t="n"/>
      <c r="B37" s="30">
        <f>"1 %   ("&amp;TEXT($C$8*0.01,"0")&amp;" €)"</f>
        <v/>
      </c>
      <c r="C37" s="31">
        <f>FIXED(I37*100,1)&amp;" %"&amp;CHAR(10)&amp;ROUNDUP(I37*$D$8,0)&amp;" z "&amp;$D$8&amp;"  ·  "&amp;ROUNDUP(I37*100,0)&amp;" zo 100"</f>
        <v/>
      </c>
      <c r="D37" s="31">
        <f>FIXED(J37*100,1)&amp;" %"&amp;CHAR(10)&amp;ROUNDUP(J37*$D$8,0)&amp;" z "&amp;$D$8&amp;"  ·  "&amp;ROUNDUP(J37*100,0)&amp;" zo 100"</f>
        <v/>
      </c>
      <c r="E37" s="31">
        <f>FIXED(K37*100,1)&amp;" %"&amp;CHAR(10)&amp;ROUNDUP(K37*$D$8,0)&amp;" z "&amp;$D$8&amp;"  ·  "&amp;ROUNDUP(K37*100,0)&amp;" zo 100"</f>
        <v/>
      </c>
      <c r="F37" s="31">
        <f>FIXED(L37*100,1)&amp;" %"&amp;CHAR(10)&amp;ROUNDUP(L37*$D$8,0)&amp;" z "&amp;$D$8&amp;"  ·  "&amp;ROUNDUP(L37*100,0)&amp;" zo 100"</f>
        <v/>
      </c>
      <c r="G37" s="32">
        <f>FIXED(M37*100,1)&amp;" %"&amp;CHAR(10)&amp;ROUNDUP(M37*$D$8,0)&amp;" z "&amp;$D$8&amp;"  ·  "&amp;ROUNDUP(M37*100,0)&amp;" zo 100"</f>
        <v/>
      </c>
      <c r="H37" s="1" t="n"/>
      <c r="I37" s="33">
        <f>(1+$F$35/($D$8*$C$8*0.01))/C$10</f>
        <v/>
      </c>
      <c r="J37" s="33">
        <f>(1+$F$35/($D$8*$C$8*0.01))/D$10</f>
        <v/>
      </c>
      <c r="K37" s="33">
        <f>(1+$F$35/($D$8*$C$8*0.01))/E$10</f>
        <v/>
      </c>
      <c r="L37" s="34">
        <f>(1+$F$35/($D$8*$C$8*0.01))/F$10</f>
        <v/>
      </c>
      <c r="M37" s="34">
        <f>(1+$F$35/($D$8*$C$8*0.01))/G$10</f>
        <v/>
      </c>
    </row>
    <row r="38" ht="38" customHeight="1">
      <c r="A38" s="1" t="n"/>
      <c r="B38" s="30">
        <f>"2 %   ("&amp;TEXT($C$8*0.02,"0")&amp;" €)"</f>
        <v/>
      </c>
      <c r="C38" s="31">
        <f>FIXED(I38*100,1)&amp;" %"&amp;CHAR(10)&amp;ROUNDUP(I38*$D$8,0)&amp;" z "&amp;$D$8&amp;"  ·  "&amp;ROUNDUP(I38*100,0)&amp;" zo 100"</f>
        <v/>
      </c>
      <c r="D38" s="31">
        <f>FIXED(J38*100,1)&amp;" %"&amp;CHAR(10)&amp;ROUNDUP(J38*$D$8,0)&amp;" z "&amp;$D$8&amp;"  ·  "&amp;ROUNDUP(J38*100,0)&amp;" zo 100"</f>
        <v/>
      </c>
      <c r="E38" s="31">
        <f>FIXED(K38*100,1)&amp;" %"&amp;CHAR(10)&amp;ROUNDUP(K38*$D$8,0)&amp;" z "&amp;$D$8&amp;"  ·  "&amp;ROUNDUP(K38*100,0)&amp;" zo 100"</f>
        <v/>
      </c>
      <c r="F38" s="31">
        <f>FIXED(L38*100,1)&amp;" %"&amp;CHAR(10)&amp;ROUNDUP(L38*$D$8,0)&amp;" z "&amp;$D$8&amp;"  ·  "&amp;ROUNDUP(L38*100,0)&amp;" zo 100"</f>
        <v/>
      </c>
      <c r="G38" s="32">
        <f>FIXED(M38*100,1)&amp;" %"&amp;CHAR(10)&amp;ROUNDUP(M38*$D$8,0)&amp;" z "&amp;$D$8&amp;"  ·  "&amp;ROUNDUP(M38*100,0)&amp;" zo 100"</f>
        <v/>
      </c>
      <c r="H38" s="1" t="n"/>
      <c r="I38" s="33">
        <f>(1+$F$35/($D$8*$C$8*0.02))/C$10</f>
        <v/>
      </c>
      <c r="J38" s="33">
        <f>(1+$F$35/($D$8*$C$8*0.02))/D$10</f>
        <v/>
      </c>
      <c r="K38" s="33">
        <f>(1+$F$35/($D$8*$C$8*0.02))/E$10</f>
        <v/>
      </c>
      <c r="L38" s="34">
        <f>(1+$F$35/($D$8*$C$8*0.02))/F$10</f>
        <v/>
      </c>
      <c r="M38" s="34">
        <f>(1+$F$35/($D$8*$C$8*0.02))/G$10</f>
        <v/>
      </c>
    </row>
    <row r="39" ht="38" customHeight="1">
      <c r="A39" s="1" t="n"/>
      <c r="B39" s="30">
        <f>"3 %   ("&amp;TEXT($C$8*0.03,"0")&amp;" €)"</f>
        <v/>
      </c>
      <c r="C39" s="31">
        <f>FIXED(I39*100,1)&amp;" %"&amp;CHAR(10)&amp;ROUNDUP(I39*$D$8,0)&amp;" z "&amp;$D$8&amp;"  ·  "&amp;ROUNDUP(I39*100,0)&amp;" zo 100"</f>
        <v/>
      </c>
      <c r="D39" s="31">
        <f>FIXED(J39*100,1)&amp;" %"&amp;CHAR(10)&amp;ROUNDUP(J39*$D$8,0)&amp;" z "&amp;$D$8&amp;"  ·  "&amp;ROUNDUP(J39*100,0)&amp;" zo 100"</f>
        <v/>
      </c>
      <c r="E39" s="31">
        <f>FIXED(K39*100,1)&amp;" %"&amp;CHAR(10)&amp;ROUNDUP(K39*$D$8,0)&amp;" z "&amp;$D$8&amp;"  ·  "&amp;ROUNDUP(K39*100,0)&amp;" zo 100"</f>
        <v/>
      </c>
      <c r="F39" s="31">
        <f>FIXED(L39*100,1)&amp;" %"&amp;CHAR(10)&amp;ROUNDUP(L39*$D$8,0)&amp;" z "&amp;$D$8&amp;"  ·  "&amp;ROUNDUP(L39*100,0)&amp;" zo 100"</f>
        <v/>
      </c>
      <c r="G39" s="32">
        <f>FIXED(M39*100,1)&amp;" %"&amp;CHAR(10)&amp;ROUNDUP(M39*$D$8,0)&amp;" z "&amp;$D$8&amp;"  ·  "&amp;ROUNDUP(M39*100,0)&amp;" zo 100"</f>
        <v/>
      </c>
      <c r="H39" s="1" t="n"/>
      <c r="I39" s="33">
        <f>(1+$F$35/($D$8*$C$8*0.03))/C$10</f>
        <v/>
      </c>
      <c r="J39" s="33">
        <f>(1+$F$35/($D$8*$C$8*0.03))/D$10</f>
        <v/>
      </c>
      <c r="K39" s="33">
        <f>(1+$F$35/($D$8*$C$8*0.03))/E$10</f>
        <v/>
      </c>
      <c r="L39" s="34">
        <f>(1+$F$35/($D$8*$C$8*0.03))/F$10</f>
        <v/>
      </c>
      <c r="M39" s="34">
        <f>(1+$F$35/($D$8*$C$8*0.03))/G$10</f>
        <v/>
      </c>
    </row>
    <row r="40" ht="38" customHeight="1">
      <c r="A40" s="1" t="n"/>
      <c r="B40" s="30">
        <f>"5 %   ("&amp;TEXT($C$8*0.05,"0")&amp;" €)"</f>
        <v/>
      </c>
      <c r="C40" s="31">
        <f>FIXED(I40*100,1)&amp;" %"&amp;CHAR(10)&amp;ROUNDUP(I40*$D$8,0)&amp;" z "&amp;$D$8&amp;"  ·  "&amp;ROUNDUP(I40*100,0)&amp;" zo 100"</f>
        <v/>
      </c>
      <c r="D40" s="31">
        <f>FIXED(J40*100,1)&amp;" %"&amp;CHAR(10)&amp;ROUNDUP(J40*$D$8,0)&amp;" z "&amp;$D$8&amp;"  ·  "&amp;ROUNDUP(J40*100,0)&amp;" zo 100"</f>
        <v/>
      </c>
      <c r="E40" s="31">
        <f>FIXED(K40*100,1)&amp;" %"&amp;CHAR(10)&amp;ROUNDUP(K40*$D$8,0)&amp;" z "&amp;$D$8&amp;"  ·  "&amp;ROUNDUP(K40*100,0)&amp;" zo 100"</f>
        <v/>
      </c>
      <c r="F40" s="31">
        <f>FIXED(L40*100,1)&amp;" %"&amp;CHAR(10)&amp;ROUNDUP(L40*$D$8,0)&amp;" z "&amp;$D$8&amp;"  ·  "&amp;ROUNDUP(L40*100,0)&amp;" zo 100"</f>
        <v/>
      </c>
      <c r="G40" s="32">
        <f>FIXED(M40*100,1)&amp;" %"&amp;CHAR(10)&amp;ROUNDUP(M40*$D$8,0)&amp;" z "&amp;$D$8&amp;"  ·  "&amp;ROUNDUP(M40*100,0)&amp;" zo 100"</f>
        <v/>
      </c>
      <c r="H40" s="1" t="n"/>
      <c r="I40" s="33">
        <f>(1+$F$35/($D$8*$C$8*0.05))/C$10</f>
        <v/>
      </c>
      <c r="J40" s="33">
        <f>(1+$F$35/($D$8*$C$8*0.05))/D$10</f>
        <v/>
      </c>
      <c r="K40" s="33">
        <f>(1+$F$35/($D$8*$C$8*0.05))/E$10</f>
        <v/>
      </c>
      <c r="L40" s="34">
        <f>(1+$F$35/($D$8*$C$8*0.05))/F$10</f>
        <v/>
      </c>
      <c r="M40" s="34">
        <f>(1+$F$35/($D$8*$C$8*0.05))/G$10</f>
        <v/>
      </c>
    </row>
    <row r="41" ht="8" customHeight="1">
      <c r="A41" s="1" t="n"/>
      <c r="B41" s="35" t="n"/>
      <c r="C41" s="20" t="n"/>
      <c r="D41" s="20" t="n"/>
      <c r="E41" s="20" t="n"/>
      <c r="F41" s="20" t="n"/>
      <c r="G41" s="21" t="n"/>
      <c r="H41" s="1" t="n"/>
      <c r="I41" s="1" t="n"/>
      <c r="J41" s="1" t="n"/>
      <c r="K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30" customHeight="1">
      <c r="A43" s="1" t="n"/>
      <c r="B43" s="6" t="inlineStr">
        <is>
          <t>FARBY</t>
        </is>
      </c>
      <c r="C43" s="36" t="inlineStr">
        <is>
          <t>pohodlne pod cieľom</t>
        </is>
      </c>
      <c r="D43" s="37" t="inlineStr">
        <is>
          <t>tesne pod cieľom</t>
        </is>
      </c>
      <c r="E43" s="38" t="inlineStr">
        <is>
          <t>nad cieľom – náročné</t>
        </is>
      </c>
      <c r="F43" s="1" t="n"/>
      <c r="G43" s="1" t="n"/>
      <c r="H43" s="1" t="n"/>
      <c r="I43" s="1" t="n"/>
      <c r="J43" s="1" t="n"/>
      <c r="K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20" customHeight="1">
      <c r="A45" s="1" t="n"/>
      <c r="B45" s="39" t="inlineStr">
        <is>
          <t>Vzorec: (1 + mesačná cena ÷ (počet tipov × vklad)) ÷ kurz · počty tipov sú zaokrúhlené nahor</t>
        </is>
      </c>
      <c r="H45" s="1" t="n"/>
      <c r="I45" s="1" t="n"/>
      <c r="J45" s="1" t="n"/>
      <c r="K45" s="1" t="n"/>
    </row>
    <row r="46" ht="20" customHeight="1">
      <c r="A46" s="1" t="n"/>
      <c r="B46" s="39" t="inlineStr">
        <is>
          <t>Výpočet ukazuje len hranicu návratnosti, výhru nezaručuje. Hrajte zodpovedne. 18+</t>
        </is>
      </c>
      <c r="H46" s="1" t="n"/>
      <c r="I46" s="1" t="n"/>
      <c r="J46" s="1" t="n"/>
      <c r="K46" s="1" t="n"/>
    </row>
    <row r="47" ht="20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20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20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20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20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20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20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20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20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20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20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20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20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20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20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20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20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20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20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20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20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20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20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20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20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20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20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20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20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20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20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20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</sheetData>
  <mergeCells count="12">
    <mergeCell ref="B3:G3"/>
    <mergeCell ref="B2:G2"/>
    <mergeCell ref="B46:G46"/>
    <mergeCell ref="B5:G5"/>
    <mergeCell ref="F16:G16"/>
    <mergeCell ref="B45:G45"/>
    <mergeCell ref="F25:G25"/>
    <mergeCell ref="F34:G34"/>
    <mergeCell ref="B4:G4"/>
    <mergeCell ref="F26:G26"/>
    <mergeCell ref="F17:G17"/>
    <mergeCell ref="F35:G35"/>
  </mergeCells>
  <conditionalFormatting sqref="C19:G22">
    <cfRule type="expression" priority="1" dxfId="0" stopIfTrue="1">
      <formula>I19&lt;=$E$8-0.03</formula>
    </cfRule>
    <cfRule type="expression" priority="2" dxfId="1" stopIfTrue="1">
      <formula>I19&lt;=$E$8</formula>
    </cfRule>
    <cfRule type="expression" priority="3" dxfId="2" stopIfTrue="1">
      <formula>I19&gt;$E$8</formula>
    </cfRule>
  </conditionalFormatting>
  <conditionalFormatting sqref="C28:G31">
    <cfRule type="expression" priority="4" dxfId="0" stopIfTrue="1">
      <formula>I28&lt;=$E$8-0.03</formula>
    </cfRule>
    <cfRule type="expression" priority="5" dxfId="1" stopIfTrue="1">
      <formula>I28&lt;=$E$8</formula>
    </cfRule>
    <cfRule type="expression" priority="6" dxfId="2" stopIfTrue="1">
      <formula>I28&gt;$E$8</formula>
    </cfRule>
  </conditionalFormatting>
  <conditionalFormatting sqref="C37:G40">
    <cfRule type="expression" priority="7" dxfId="0" stopIfTrue="1">
      <formula>I37&lt;=$E$8-0.03</formula>
    </cfRule>
    <cfRule type="expression" priority="8" dxfId="1" stopIfTrue="1">
      <formula>I37&lt;=$E$8</formula>
    </cfRule>
    <cfRule type="expression" priority="9" dxfId="2" stopIfTrue="1">
      <formula>I37&gt;$E$8</formula>
    </cfRule>
  </conditionalFormatting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2026-10-24T07:41:08Z</dcterms:created>
  <dcterms:modified xmlns:dcterms="http://purl.org/dc/terms/" xmlns:xsi="http://www.w3.org/2001/XMLSchema-instance" xsi:type="dcterms:W3CDTF">2026-10-24T07:41:08Z</dcterms:modified>
</cp:coreProperties>
</file>